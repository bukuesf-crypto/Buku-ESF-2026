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M\Dosen\BISMILLAH S3\AA--KULIAH--AA\A--DISERTASI--A\AA--MATERI BARU--AA\AA--FIX--AA\AA--ANALISIS--AA\ANALISIS KAJIAN 1\"/>
    </mc:Choice>
  </mc:AlternateContent>
  <xr:revisionPtr revIDLastSave="0" documentId="13_ncr:1_{8090F6CE-A1FD-4847-960F-A0206162DF8B}" xr6:coauthVersionLast="47" xr6:coauthVersionMax="47" xr10:uidLastSave="{00000000-0000-0000-0000-000000000000}"/>
  <bookViews>
    <workbookView xWindow="-120" yWindow="-120" windowWidth="29040" windowHeight="15720" xr2:uid="{59129F18-C34F-48C1-B17C-488B2FF96696}"/>
  </bookViews>
  <sheets>
    <sheet name="INFOPOS" sheetId="2" r:id="rId1"/>
    <sheet name="INFOPOS (edit)" sheetId="3" r:id="rId2"/>
    <sheet name="Sheet2" sheetId="4" r:id="rId3"/>
  </sheets>
  <definedNames>
    <definedName name="_xlnm._FilterDatabase" localSheetId="1" hidden="1">'INFOPOS (edit)'!$A$1:$O$33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2" i="2"/>
  <c r="O5" i="3"/>
  <c r="L5" i="3"/>
  <c r="O18" i="3"/>
  <c r="L18" i="3"/>
  <c r="O27" i="3"/>
  <c r="L27" i="3"/>
  <c r="O7" i="3"/>
  <c r="L7" i="3"/>
  <c r="O15" i="3"/>
  <c r="L15" i="3"/>
  <c r="O14" i="3"/>
  <c r="L14" i="3"/>
  <c r="O11" i="3"/>
  <c r="L11" i="3"/>
  <c r="O10" i="3"/>
  <c r="L10" i="3"/>
  <c r="O13" i="3"/>
  <c r="L13" i="3"/>
  <c r="O12" i="3"/>
  <c r="L12" i="3"/>
  <c r="O4" i="3"/>
  <c r="L4" i="3"/>
  <c r="O6" i="3"/>
  <c r="L6" i="3"/>
  <c r="O2" i="3"/>
  <c r="L2" i="3"/>
  <c r="O16" i="3"/>
  <c r="L16" i="3"/>
  <c r="O9" i="3"/>
  <c r="L9" i="3"/>
  <c r="O8" i="3"/>
  <c r="L8" i="3"/>
  <c r="O17" i="3"/>
  <c r="L17" i="3"/>
  <c r="O32" i="3"/>
  <c r="L32" i="3"/>
  <c r="O30" i="3"/>
  <c r="L30" i="3"/>
  <c r="O22" i="3"/>
  <c r="L22" i="3"/>
  <c r="O23" i="3"/>
  <c r="L23" i="3"/>
  <c r="O29" i="3"/>
  <c r="L29" i="3"/>
  <c r="O25" i="3"/>
  <c r="L25" i="3"/>
  <c r="O31" i="3"/>
  <c r="L31" i="3"/>
  <c r="O33" i="3"/>
  <c r="L33" i="3"/>
  <c r="O3" i="3"/>
  <c r="L3" i="3"/>
  <c r="O26" i="3"/>
  <c r="L26" i="3"/>
  <c r="O24" i="3"/>
  <c r="L24" i="3"/>
  <c r="O28" i="3"/>
  <c r="L28" i="3"/>
  <c r="O19" i="3"/>
  <c r="L19" i="3"/>
  <c r="O21" i="3"/>
  <c r="L21" i="3"/>
  <c r="O20" i="3"/>
  <c r="L20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2" i="2"/>
  <c r="L29" i="2"/>
  <c r="L27" i="2"/>
  <c r="L16" i="2"/>
  <c r="L10" i="2"/>
  <c r="L3" i="2"/>
  <c r="L4" i="2"/>
  <c r="L5" i="2"/>
  <c r="L6" i="2"/>
  <c r="L7" i="2"/>
  <c r="L8" i="2"/>
  <c r="L9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8" i="2"/>
  <c r="L30" i="2"/>
  <c r="L31" i="2"/>
  <c r="L32" i="2"/>
  <c r="L33" i="2"/>
  <c r="L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Al Mahkya</author>
  </authors>
  <commentList>
    <comment ref="N1" authorId="0" shapeId="0" xr:uid="{BB31CF13-3B10-4CD0-97DA-47A09AF17669}">
      <text>
        <r>
          <rPr>
            <b/>
            <sz val="9"/>
            <color indexed="81"/>
            <rFont val="Tahoma"/>
            <family val="2"/>
          </rPr>
          <t>Dani Al Mahkya:</t>
        </r>
        <r>
          <rPr>
            <sz val="9"/>
            <color indexed="81"/>
            <rFont val="Tahoma"/>
            <family val="2"/>
          </rPr>
          <t xml:space="preserve">
 (0 rumah 1 kebun)</t>
        </r>
      </text>
    </comment>
    <comment ref="O1" authorId="0" shapeId="0" xr:uid="{B211B0C3-1151-4432-81AE-A3622D93B272}">
      <text>
        <r>
          <rPr>
            <b/>
            <sz val="9"/>
            <color indexed="81"/>
            <rFont val="Tahoma"/>
            <family val="2"/>
          </rPr>
          <t>Dani Al Mahkya:</t>
        </r>
        <r>
          <rPr>
            <sz val="9"/>
            <color indexed="81"/>
            <rFont val="Tahoma"/>
            <family val="2"/>
          </rPr>
          <t xml:space="preserve">
u 0 s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Al Mahkya</author>
  </authors>
  <commentList>
    <comment ref="N1" authorId="0" shapeId="0" xr:uid="{65D6DBD5-1C08-4CF4-A4FB-5DB08EDAE3C5}">
      <text>
        <r>
          <rPr>
            <b/>
            <sz val="9"/>
            <color indexed="81"/>
            <rFont val="Tahoma"/>
            <family val="2"/>
          </rPr>
          <t>Dani Al Mahkya:</t>
        </r>
        <r>
          <rPr>
            <sz val="9"/>
            <color indexed="81"/>
            <rFont val="Tahoma"/>
            <family val="2"/>
          </rPr>
          <t xml:space="preserve">
 (0 rumah 1 kebun)</t>
        </r>
      </text>
    </comment>
    <comment ref="O1" authorId="0" shapeId="0" xr:uid="{E6CAD8D1-971B-42A2-88FC-F4FB7F8CA9AD}">
      <text>
        <r>
          <rPr>
            <b/>
            <sz val="9"/>
            <color indexed="81"/>
            <rFont val="Tahoma"/>
            <family val="2"/>
          </rPr>
          <t>Dani Al Mahkya:</t>
        </r>
        <r>
          <rPr>
            <sz val="9"/>
            <color indexed="81"/>
            <rFont val="Tahoma"/>
            <family val="2"/>
          </rPr>
          <t xml:space="preserve">
u 0 s 1</t>
        </r>
      </text>
    </comment>
  </commentList>
</comments>
</file>

<file path=xl/sharedStrings.xml><?xml version="1.0" encoding="utf-8"?>
<sst xmlns="http://schemas.openxmlformats.org/spreadsheetml/2006/main" count="494" uniqueCount="156">
  <si>
    <t>No</t>
  </si>
  <si>
    <t>Nama</t>
  </si>
  <si>
    <t>Prov</t>
  </si>
  <si>
    <t>Kota_Kab</t>
  </si>
  <si>
    <t>LAT</t>
  </si>
  <si>
    <t>LON</t>
  </si>
  <si>
    <t>PULAU</t>
  </si>
  <si>
    <t>14010101a</t>
  </si>
  <si>
    <t>Bangkinang Kota</t>
  </si>
  <si>
    <t>Riau</t>
  </si>
  <si>
    <t>Kab. Kampar</t>
  </si>
  <si>
    <t>SUMATERA</t>
  </si>
  <si>
    <t>14010701a</t>
  </si>
  <si>
    <t>Kampar Kiri</t>
  </si>
  <si>
    <t>14011001a</t>
  </si>
  <si>
    <t>Tapung</t>
  </si>
  <si>
    <t>14020101a</t>
  </si>
  <si>
    <t>Rengat</t>
  </si>
  <si>
    <t>Kab. Indragiri Hulu</t>
  </si>
  <si>
    <t>14020901a</t>
  </si>
  <si>
    <t>Lirik</t>
  </si>
  <si>
    <t>14020902a</t>
  </si>
  <si>
    <t>Stasiun Meteorologi Indragiri Hulu</t>
  </si>
  <si>
    <t>14031001a</t>
  </si>
  <si>
    <t>Rupat</t>
  </si>
  <si>
    <t>Kab. Bengkalis</t>
  </si>
  <si>
    <t>14040101a</t>
  </si>
  <si>
    <t>Kab. Indragiri Hilir</t>
  </si>
  <si>
    <t>14040201a</t>
  </si>
  <si>
    <t>Enok</t>
  </si>
  <si>
    <t>14040402a</t>
  </si>
  <si>
    <t>Tembilahan</t>
  </si>
  <si>
    <t>14040502a</t>
  </si>
  <si>
    <t>Tempuling</t>
  </si>
  <si>
    <t>14040601a</t>
  </si>
  <si>
    <t>Gaung Anak Serka</t>
  </si>
  <si>
    <t>14041202a</t>
  </si>
  <si>
    <t>Gaung Hulu</t>
  </si>
  <si>
    <t>14041901a</t>
  </si>
  <si>
    <t>Kempas</t>
  </si>
  <si>
    <t>14042002a</t>
  </si>
  <si>
    <t>Sungai Batang</t>
  </si>
  <si>
    <t>14050601a</t>
  </si>
  <si>
    <t>Bandara Pt. Rapp</t>
  </si>
  <si>
    <t>Kab. Pelalawan</t>
  </si>
  <si>
    <t>14060402a</t>
  </si>
  <si>
    <t>Tambusai</t>
  </si>
  <si>
    <t>Kab. Rokan Hulu</t>
  </si>
  <si>
    <t>14061001a</t>
  </si>
  <si>
    <t>Bangun Purba</t>
  </si>
  <si>
    <t>14061101a</t>
  </si>
  <si>
    <t>Tandun</t>
  </si>
  <si>
    <t>14070202a</t>
  </si>
  <si>
    <t>Bangko</t>
  </si>
  <si>
    <t>Kab. Rokan Hilir</t>
  </si>
  <si>
    <t>14070302a</t>
  </si>
  <si>
    <t>Tanah Putih</t>
  </si>
  <si>
    <t>14070902a</t>
  </si>
  <si>
    <t>Tanah Putih Tanjung Melawan</t>
  </si>
  <si>
    <t>14080102a</t>
  </si>
  <si>
    <t>Siak Sri Indrapura</t>
  </si>
  <si>
    <t>Kab. Siak</t>
  </si>
  <si>
    <t>14080201a</t>
  </si>
  <si>
    <t>Sungai Apit</t>
  </si>
  <si>
    <t>14080301a</t>
  </si>
  <si>
    <t>Minas</t>
  </si>
  <si>
    <t>14080601a</t>
  </si>
  <si>
    <t>Dayun</t>
  </si>
  <si>
    <t>14081001a</t>
  </si>
  <si>
    <t>Kandis</t>
  </si>
  <si>
    <t>14081101a</t>
  </si>
  <si>
    <t>Lubuk Dalam</t>
  </si>
  <si>
    <t>14081201a</t>
  </si>
  <si>
    <t>Sabak Auh</t>
  </si>
  <si>
    <t>14090301a</t>
  </si>
  <si>
    <t>Muara Lembu</t>
  </si>
  <si>
    <t>Kab. Kuantan Singingi</t>
  </si>
  <si>
    <t>14710902a</t>
  </si>
  <si>
    <t>Stamet Pekanbaru</t>
  </si>
  <si>
    <t>Kota Pekanbaru</t>
  </si>
  <si>
    <t>14720202a</t>
  </si>
  <si>
    <t>Bandara Pinang Kampai</t>
  </si>
  <si>
    <t>Kota Dumai</t>
  </si>
  <si>
    <t>DATA HILANG</t>
  </si>
  <si>
    <t>No Urut</t>
  </si>
  <si>
    <t>Reteh</t>
  </si>
  <si>
    <t>COORDS</t>
  </si>
  <si>
    <t>0.3333</t>
  </si>
  <si>
    <t>0.0304</t>
  </si>
  <si>
    <t>101.2</t>
  </si>
  <si>
    <t>0.4667</t>
  </si>
  <si>
    <t>101.15</t>
  </si>
  <si>
    <t>-0.38576</t>
  </si>
  <si>
    <t>-0.25955</t>
  </si>
  <si>
    <t>-0.35</t>
  </si>
  <si>
    <t>102.33</t>
  </si>
  <si>
    <t>-0.69967</t>
  </si>
  <si>
    <t>-0.5333</t>
  </si>
  <si>
    <t>103.2</t>
  </si>
  <si>
    <t>-0.3167</t>
  </si>
  <si>
    <t>-0.4331</t>
  </si>
  <si>
    <t>-0.12909</t>
  </si>
  <si>
    <t>-0.03708</t>
  </si>
  <si>
    <t>-0.50262</t>
  </si>
  <si>
    <t>-0.60561</t>
  </si>
  <si>
    <t>0.51635</t>
  </si>
  <si>
    <t>0.91354</t>
  </si>
  <si>
    <t>0.58158</t>
  </si>
  <si>
    <t>2.17</t>
  </si>
  <si>
    <t>0.77</t>
  </si>
  <si>
    <t>101.8</t>
  </si>
  <si>
    <t>0.75</t>
  </si>
  <si>
    <t>0.8333</t>
  </si>
  <si>
    <t>0.61248</t>
  </si>
  <si>
    <t>-0.3833</t>
  </si>
  <si>
    <t>101.35</t>
  </si>
  <si>
    <t>0.4882</t>
  </si>
  <si>
    <t>1.63</t>
  </si>
  <si>
    <t>101.0333</t>
  </si>
  <si>
    <t>102.5425</t>
  </si>
  <si>
    <t>102.2799</t>
  </si>
  <si>
    <t>1.91127</t>
  </si>
  <si>
    <t>101.6151</t>
  </si>
  <si>
    <t>103.2446</t>
  </si>
  <si>
    <t>103.2167</t>
  </si>
  <si>
    <t>102.9833</t>
  </si>
  <si>
    <t>103.1474</t>
  </si>
  <si>
    <t>102.9032</t>
  </si>
  <si>
    <t>102.7769</t>
  </si>
  <si>
    <t>103.2226</t>
  </si>
  <si>
    <t>102.0927</t>
  </si>
  <si>
    <t>1.09788</t>
  </si>
  <si>
    <t>100.3064</t>
  </si>
  <si>
    <t>100.1932</t>
  </si>
  <si>
    <t>100.598</t>
  </si>
  <si>
    <t>100.8001</t>
  </si>
  <si>
    <t>1.5482</t>
  </si>
  <si>
    <t>101.0247</t>
  </si>
  <si>
    <t>1.67861</t>
  </si>
  <si>
    <t>101.0454</t>
  </si>
  <si>
    <t>102.1333</t>
  </si>
  <si>
    <t>101.3667</t>
  </si>
  <si>
    <t>101.6667</t>
  </si>
  <si>
    <t>101.7749</t>
  </si>
  <si>
    <t>1.14628</t>
  </si>
  <si>
    <t>102.1295</t>
  </si>
  <si>
    <t>101.4373</t>
  </si>
  <si>
    <t>101.499</t>
  </si>
  <si>
    <t>altitude</t>
  </si>
  <si>
    <t>vegetasi</t>
  </si>
  <si>
    <t>ekuator</t>
  </si>
  <si>
    <t>Lat</t>
  </si>
  <si>
    <t>Lon</t>
  </si>
  <si>
    <t>Stasiun</t>
  </si>
  <si>
    <t>Urutan DF Asli</t>
  </si>
  <si>
    <t>ekuator2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</si>
</sst>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729C-BEE8-4B04-A386-9FC2FAAC0152}">
  <dimension ref="A1:P3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S13" sqref="S13"/>
    </sheetView>
  </sheetViews>
  <sheetFormatPr defaultRowHeight="15" x14ac:dyDescent="0.25"/>
  <cols>
    <col min="1" max="1" width="9.140625" style="1"/>
    <col min="2" max="2" width="10" bestFit="1" customWidth="1"/>
    <col min="3" max="3" width="32" bestFit="1" customWidth="1"/>
    <col min="5" max="5" width="20.28515625" bestFit="1" customWidth="1"/>
    <col min="8" max="8" width="10.7109375" bestFit="1" customWidth="1"/>
    <col min="9" max="9" width="17.85546875" customWidth="1"/>
    <col min="10" max="11" width="12.7109375" style="1" customWidth="1"/>
    <col min="12" max="12" width="16.5703125" style="1" bestFit="1" customWidth="1"/>
    <col min="13" max="13" width="9.28515625" style="1" bestFit="1" customWidth="1"/>
    <col min="14" max="14" width="8.42578125" style="1" bestFit="1" customWidth="1"/>
    <col min="15" max="15" width="9.140625" style="3"/>
  </cols>
  <sheetData>
    <row r="1" spans="1:16" x14ac:dyDescent="0.25">
      <c r="A1" s="1" t="s">
        <v>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83</v>
      </c>
      <c r="J1" s="2" t="s">
        <v>4</v>
      </c>
      <c r="K1" s="2" t="s">
        <v>5</v>
      </c>
      <c r="L1" s="1" t="s">
        <v>86</v>
      </c>
      <c r="M1" s="1" t="s">
        <v>148</v>
      </c>
      <c r="N1" s="1" t="s">
        <v>149</v>
      </c>
      <c r="O1" s="1" t="s">
        <v>150</v>
      </c>
      <c r="P1" s="1" t="s">
        <v>155</v>
      </c>
    </row>
    <row r="2" spans="1:16" x14ac:dyDescent="0.25">
      <c r="A2" s="1">
        <v>1</v>
      </c>
      <c r="B2" t="s">
        <v>7</v>
      </c>
      <c r="C2" t="s">
        <v>8</v>
      </c>
      <c r="D2" t="s">
        <v>9</v>
      </c>
      <c r="E2" t="s">
        <v>10</v>
      </c>
      <c r="F2">
        <v>0.33329999999999999</v>
      </c>
      <c r="G2">
        <v>101.0333</v>
      </c>
      <c r="H2" t="s">
        <v>11</v>
      </c>
      <c r="I2" s="1">
        <v>3310</v>
      </c>
      <c r="J2" s="2" t="s">
        <v>87</v>
      </c>
      <c r="K2" s="2" t="s">
        <v>118</v>
      </c>
      <c r="L2" s="1" t="str">
        <f>J2&amp;","&amp;K2</f>
        <v>0.3333,101.0333</v>
      </c>
      <c r="M2" s="1">
        <v>56</v>
      </c>
      <c r="N2" s="1">
        <v>0</v>
      </c>
      <c r="O2" s="3">
        <f>IF(F2&lt;0,1,0)</f>
        <v>0</v>
      </c>
      <c r="P2">
        <f>(F2*111.1)</f>
        <v>37.029629999999997</v>
      </c>
    </row>
    <row r="3" spans="1:16" x14ac:dyDescent="0.25">
      <c r="A3" s="1">
        <v>2</v>
      </c>
      <c r="B3" t="s">
        <v>12</v>
      </c>
      <c r="C3" t="s">
        <v>13</v>
      </c>
      <c r="D3" t="s">
        <v>9</v>
      </c>
      <c r="E3" t="s">
        <v>10</v>
      </c>
      <c r="F3">
        <v>3.04E-2</v>
      </c>
      <c r="G3">
        <v>101.2</v>
      </c>
      <c r="H3" t="s">
        <v>11</v>
      </c>
      <c r="I3" s="1">
        <v>795</v>
      </c>
      <c r="J3" s="2" t="s">
        <v>88</v>
      </c>
      <c r="K3" s="2" t="s">
        <v>89</v>
      </c>
      <c r="L3" s="1" t="str">
        <f>J3&amp;","&amp;K3</f>
        <v>0.0304,101.2</v>
      </c>
      <c r="M3" s="1">
        <v>31</v>
      </c>
      <c r="N3" s="1">
        <v>0</v>
      </c>
      <c r="O3" s="3">
        <f t="shared" ref="O3:O33" si="0">IF(F3&lt;0,1,0)</f>
        <v>0</v>
      </c>
      <c r="P3">
        <f t="shared" ref="P3:P33" si="1">(F3*111.1)</f>
        <v>3.37744</v>
      </c>
    </row>
    <row r="4" spans="1:16" x14ac:dyDescent="0.25">
      <c r="A4" s="1">
        <v>3</v>
      </c>
      <c r="B4" t="s">
        <v>14</v>
      </c>
      <c r="C4" t="s">
        <v>15</v>
      </c>
      <c r="D4" t="s">
        <v>9</v>
      </c>
      <c r="E4" t="s">
        <v>10</v>
      </c>
      <c r="F4">
        <v>0.4667</v>
      </c>
      <c r="G4">
        <v>101.15</v>
      </c>
      <c r="H4" t="s">
        <v>11</v>
      </c>
      <c r="I4" s="1">
        <v>4782</v>
      </c>
      <c r="J4" s="2" t="s">
        <v>90</v>
      </c>
      <c r="K4" s="2" t="s">
        <v>91</v>
      </c>
      <c r="L4" s="1" t="str">
        <f t="shared" ref="L4:L33" si="2">J4&amp;","&amp;K4</f>
        <v>0.4667,101.15</v>
      </c>
      <c r="M4" s="1">
        <v>62</v>
      </c>
      <c r="N4" s="1">
        <v>1</v>
      </c>
      <c r="O4" s="3">
        <f t="shared" si="0"/>
        <v>0</v>
      </c>
      <c r="P4">
        <f t="shared" si="1"/>
        <v>51.850369999999998</v>
      </c>
    </row>
    <row r="5" spans="1:16" x14ac:dyDescent="0.25">
      <c r="A5" s="1">
        <v>4</v>
      </c>
      <c r="B5" t="s">
        <v>16</v>
      </c>
      <c r="C5" t="s">
        <v>17</v>
      </c>
      <c r="D5" t="s">
        <v>9</v>
      </c>
      <c r="E5" t="s">
        <v>18</v>
      </c>
      <c r="F5">
        <v>-0.38575999999999999</v>
      </c>
      <c r="G5">
        <v>102.5425</v>
      </c>
      <c r="H5" t="s">
        <v>11</v>
      </c>
      <c r="I5" s="1">
        <v>4921</v>
      </c>
      <c r="J5" s="2" t="s">
        <v>92</v>
      </c>
      <c r="K5" s="2" t="s">
        <v>119</v>
      </c>
      <c r="L5" s="1" t="str">
        <f t="shared" si="2"/>
        <v>-0.38576,102.5425</v>
      </c>
      <c r="M5" s="1">
        <v>6</v>
      </c>
      <c r="N5" s="1">
        <v>0</v>
      </c>
      <c r="O5" s="3">
        <f t="shared" si="0"/>
        <v>1</v>
      </c>
      <c r="P5">
        <f t="shared" si="1"/>
        <v>-42.857935999999995</v>
      </c>
    </row>
    <row r="6" spans="1:16" x14ac:dyDescent="0.25">
      <c r="A6" s="1">
        <v>5</v>
      </c>
      <c r="B6" t="s">
        <v>19</v>
      </c>
      <c r="C6" t="s">
        <v>20</v>
      </c>
      <c r="D6" t="s">
        <v>9</v>
      </c>
      <c r="E6" t="s">
        <v>18</v>
      </c>
      <c r="F6">
        <v>-0.25955</v>
      </c>
      <c r="G6">
        <v>102.2799</v>
      </c>
      <c r="H6" t="s">
        <v>11</v>
      </c>
      <c r="I6" s="1">
        <v>2561</v>
      </c>
      <c r="J6" s="2" t="s">
        <v>93</v>
      </c>
      <c r="K6" s="2" t="s">
        <v>120</v>
      </c>
      <c r="L6" s="1" t="str">
        <f t="shared" si="2"/>
        <v>-0.25955,102.2799</v>
      </c>
      <c r="M6" s="1">
        <v>38</v>
      </c>
      <c r="N6" s="1">
        <v>1</v>
      </c>
      <c r="O6" s="3">
        <f t="shared" si="0"/>
        <v>1</v>
      </c>
      <c r="P6">
        <f t="shared" si="1"/>
        <v>-28.836005</v>
      </c>
    </row>
    <row r="7" spans="1:16" x14ac:dyDescent="0.25">
      <c r="A7" s="1">
        <v>6</v>
      </c>
      <c r="B7" t="s">
        <v>21</v>
      </c>
      <c r="C7" t="s">
        <v>22</v>
      </c>
      <c r="D7" t="s">
        <v>9</v>
      </c>
      <c r="E7" t="s">
        <v>18</v>
      </c>
      <c r="F7">
        <v>-0.35</v>
      </c>
      <c r="G7">
        <v>102.33</v>
      </c>
      <c r="H7" t="s">
        <v>11</v>
      </c>
      <c r="I7" s="1">
        <v>313</v>
      </c>
      <c r="J7" s="2" t="s">
        <v>94</v>
      </c>
      <c r="K7" s="2" t="s">
        <v>95</v>
      </c>
      <c r="L7" s="1" t="str">
        <f t="shared" si="2"/>
        <v>-0.35,102.33</v>
      </c>
      <c r="M7" s="1">
        <v>24</v>
      </c>
      <c r="N7" s="1">
        <v>0</v>
      </c>
      <c r="O7" s="3">
        <f t="shared" si="0"/>
        <v>1</v>
      </c>
      <c r="P7">
        <f t="shared" si="1"/>
        <v>-38.884999999999998</v>
      </c>
    </row>
    <row r="8" spans="1:16" x14ac:dyDescent="0.25">
      <c r="A8" s="1">
        <v>7</v>
      </c>
      <c r="B8" t="s">
        <v>23</v>
      </c>
      <c r="C8" t="s">
        <v>24</v>
      </c>
      <c r="D8" t="s">
        <v>9</v>
      </c>
      <c r="E8" t="s">
        <v>25</v>
      </c>
      <c r="F8">
        <v>1.91127</v>
      </c>
      <c r="G8">
        <v>101.6151</v>
      </c>
      <c r="H8" t="s">
        <v>11</v>
      </c>
      <c r="I8" s="1">
        <v>7365</v>
      </c>
      <c r="J8" s="2" t="s">
        <v>121</v>
      </c>
      <c r="K8" s="2" t="s">
        <v>122</v>
      </c>
      <c r="L8" s="1" t="str">
        <f t="shared" si="2"/>
        <v>1.91127,101.6151</v>
      </c>
      <c r="M8" s="1">
        <v>27</v>
      </c>
      <c r="N8" s="1">
        <v>1</v>
      </c>
      <c r="O8" s="3">
        <f t="shared" si="0"/>
        <v>0</v>
      </c>
      <c r="P8">
        <f t="shared" si="1"/>
        <v>212.342097</v>
      </c>
    </row>
    <row r="9" spans="1:16" x14ac:dyDescent="0.25">
      <c r="A9" s="1">
        <v>8</v>
      </c>
      <c r="B9" t="s">
        <v>26</v>
      </c>
      <c r="C9" t="s">
        <v>85</v>
      </c>
      <c r="D9" t="s">
        <v>9</v>
      </c>
      <c r="E9" t="s">
        <v>27</v>
      </c>
      <c r="F9">
        <v>-0.69967000000000001</v>
      </c>
      <c r="G9">
        <v>103.24460000000001</v>
      </c>
      <c r="H9" t="s">
        <v>11</v>
      </c>
      <c r="I9" s="1">
        <v>5077</v>
      </c>
      <c r="J9" s="2" t="s">
        <v>96</v>
      </c>
      <c r="K9" s="2" t="s">
        <v>123</v>
      </c>
      <c r="L9" s="1" t="str">
        <f t="shared" si="2"/>
        <v>-0.69967,103.2446</v>
      </c>
      <c r="M9" s="1">
        <v>4</v>
      </c>
      <c r="N9" s="1">
        <v>1</v>
      </c>
      <c r="O9" s="3">
        <f t="shared" si="0"/>
        <v>1</v>
      </c>
      <c r="P9">
        <f t="shared" si="1"/>
        <v>-77.733336999999992</v>
      </c>
    </row>
    <row r="10" spans="1:16" x14ac:dyDescent="0.25">
      <c r="A10" s="1">
        <v>9</v>
      </c>
      <c r="B10" t="s">
        <v>28</v>
      </c>
      <c r="C10" t="s">
        <v>29</v>
      </c>
      <c r="D10" t="s">
        <v>9</v>
      </c>
      <c r="E10" t="s">
        <v>27</v>
      </c>
      <c r="F10">
        <v>-0.5333</v>
      </c>
      <c r="G10">
        <v>103.2</v>
      </c>
      <c r="H10" t="s">
        <v>11</v>
      </c>
      <c r="I10" s="1">
        <v>8226</v>
      </c>
      <c r="J10" s="2" t="s">
        <v>97</v>
      </c>
      <c r="K10" s="2" t="s">
        <v>98</v>
      </c>
      <c r="L10" s="1" t="str">
        <f>J10&amp;","&amp;K10</f>
        <v>-0.5333,103.2</v>
      </c>
      <c r="M10" s="1">
        <v>8</v>
      </c>
      <c r="N10" s="1">
        <v>1</v>
      </c>
      <c r="O10" s="3">
        <f t="shared" si="0"/>
        <v>1</v>
      </c>
      <c r="P10">
        <f t="shared" si="1"/>
        <v>-59.249629999999996</v>
      </c>
    </row>
    <row r="11" spans="1:16" x14ac:dyDescent="0.25">
      <c r="A11" s="1">
        <v>10</v>
      </c>
      <c r="B11" t="s">
        <v>30</v>
      </c>
      <c r="C11" t="s">
        <v>31</v>
      </c>
      <c r="D11" t="s">
        <v>9</v>
      </c>
      <c r="E11" t="s">
        <v>27</v>
      </c>
      <c r="F11">
        <v>-0.31669999999999998</v>
      </c>
      <c r="G11">
        <v>103.2167</v>
      </c>
      <c r="H11" t="s">
        <v>11</v>
      </c>
      <c r="I11" s="1">
        <v>3631</v>
      </c>
      <c r="J11" s="2" t="s">
        <v>99</v>
      </c>
      <c r="K11" s="2" t="s">
        <v>124</v>
      </c>
      <c r="L11" s="1" t="str">
        <f t="shared" si="2"/>
        <v>-0.3167,103.2167</v>
      </c>
      <c r="M11" s="1">
        <v>3</v>
      </c>
      <c r="N11" s="1">
        <v>1</v>
      </c>
      <c r="O11" s="3">
        <f t="shared" si="0"/>
        <v>1</v>
      </c>
      <c r="P11">
        <f t="shared" si="1"/>
        <v>-35.185369999999999</v>
      </c>
    </row>
    <row r="12" spans="1:16" x14ac:dyDescent="0.25">
      <c r="A12" s="1">
        <v>11</v>
      </c>
      <c r="B12" t="s">
        <v>32</v>
      </c>
      <c r="C12" t="s">
        <v>33</v>
      </c>
      <c r="D12" t="s">
        <v>9</v>
      </c>
      <c r="E12" t="s">
        <v>27</v>
      </c>
      <c r="F12">
        <v>-0.43309999999999998</v>
      </c>
      <c r="G12">
        <v>102.9833</v>
      </c>
      <c r="H12" t="s">
        <v>11</v>
      </c>
      <c r="I12" s="1">
        <v>5703</v>
      </c>
      <c r="J12" s="2" t="s">
        <v>100</v>
      </c>
      <c r="K12" s="2" t="s">
        <v>125</v>
      </c>
      <c r="L12" s="1" t="str">
        <f t="shared" si="2"/>
        <v>-0.4331,102.9833</v>
      </c>
      <c r="M12" s="1">
        <v>8</v>
      </c>
      <c r="N12" s="1">
        <v>1</v>
      </c>
      <c r="O12" s="3">
        <f t="shared" si="0"/>
        <v>1</v>
      </c>
      <c r="P12">
        <f t="shared" si="1"/>
        <v>-48.117409999999992</v>
      </c>
    </row>
    <row r="13" spans="1:16" x14ac:dyDescent="0.25">
      <c r="A13" s="1">
        <v>12</v>
      </c>
      <c r="B13" t="s">
        <v>34</v>
      </c>
      <c r="C13" t="s">
        <v>35</v>
      </c>
      <c r="D13" t="s">
        <v>9</v>
      </c>
      <c r="E13" t="s">
        <v>27</v>
      </c>
      <c r="F13">
        <v>-0.12909000000000001</v>
      </c>
      <c r="G13">
        <v>103.1474</v>
      </c>
      <c r="H13" t="s">
        <v>11</v>
      </c>
      <c r="I13" s="1">
        <v>8968</v>
      </c>
      <c r="J13" s="2" t="s">
        <v>101</v>
      </c>
      <c r="K13" s="2" t="s">
        <v>126</v>
      </c>
      <c r="L13" s="1" t="str">
        <f t="shared" si="2"/>
        <v>-0.12909,103.1474</v>
      </c>
      <c r="M13" s="1">
        <v>6</v>
      </c>
      <c r="N13" s="1">
        <v>1</v>
      </c>
      <c r="O13" s="3">
        <f t="shared" si="0"/>
        <v>1</v>
      </c>
      <c r="P13">
        <f t="shared" si="1"/>
        <v>-14.341899</v>
      </c>
    </row>
    <row r="14" spans="1:16" x14ac:dyDescent="0.25">
      <c r="A14" s="1">
        <v>13</v>
      </c>
      <c r="B14" t="s">
        <v>36</v>
      </c>
      <c r="C14" t="s">
        <v>37</v>
      </c>
      <c r="D14" t="s">
        <v>9</v>
      </c>
      <c r="E14" t="s">
        <v>27</v>
      </c>
      <c r="F14">
        <v>-3.7080000000000002E-2</v>
      </c>
      <c r="G14">
        <v>102.9032</v>
      </c>
      <c r="H14" t="s">
        <v>11</v>
      </c>
      <c r="I14" s="1">
        <v>10055</v>
      </c>
      <c r="J14" s="2" t="s">
        <v>102</v>
      </c>
      <c r="K14" s="2" t="s">
        <v>127</v>
      </c>
      <c r="L14" s="1" t="str">
        <f t="shared" si="2"/>
        <v>-0.03708,102.9032</v>
      </c>
      <c r="M14" s="1">
        <v>31</v>
      </c>
      <c r="N14" s="1">
        <v>1</v>
      </c>
      <c r="O14" s="3">
        <f t="shared" si="0"/>
        <v>1</v>
      </c>
      <c r="P14">
        <f t="shared" si="1"/>
        <v>-4.1195880000000002</v>
      </c>
    </row>
    <row r="15" spans="1:16" x14ac:dyDescent="0.25">
      <c r="A15" s="1">
        <v>14</v>
      </c>
      <c r="B15" t="s">
        <v>38</v>
      </c>
      <c r="C15" t="s">
        <v>39</v>
      </c>
      <c r="D15" t="s">
        <v>9</v>
      </c>
      <c r="E15" t="s">
        <v>27</v>
      </c>
      <c r="F15">
        <v>-0.50261999999999996</v>
      </c>
      <c r="G15">
        <v>102.7769</v>
      </c>
      <c r="H15" t="s">
        <v>11</v>
      </c>
      <c r="I15" s="1">
        <v>3420</v>
      </c>
      <c r="J15" s="2" t="s">
        <v>103</v>
      </c>
      <c r="K15" s="2" t="s">
        <v>128</v>
      </c>
      <c r="L15" s="1" t="str">
        <f t="shared" si="2"/>
        <v>-0.50262,102.7769</v>
      </c>
      <c r="M15" s="1">
        <v>11</v>
      </c>
      <c r="N15" s="1">
        <v>0</v>
      </c>
      <c r="O15" s="3">
        <f t="shared" si="0"/>
        <v>1</v>
      </c>
      <c r="P15">
        <f t="shared" si="1"/>
        <v>-55.841081999999993</v>
      </c>
    </row>
    <row r="16" spans="1:16" x14ac:dyDescent="0.25">
      <c r="A16" s="1">
        <v>15</v>
      </c>
      <c r="B16" t="s">
        <v>40</v>
      </c>
      <c r="C16" t="s">
        <v>41</v>
      </c>
      <c r="D16" t="s">
        <v>9</v>
      </c>
      <c r="E16" t="s">
        <v>27</v>
      </c>
      <c r="F16">
        <v>-0.60560999999999998</v>
      </c>
      <c r="G16">
        <v>103.2226</v>
      </c>
      <c r="H16" t="s">
        <v>11</v>
      </c>
      <c r="I16" s="1">
        <v>6295</v>
      </c>
      <c r="J16" s="2" t="s">
        <v>104</v>
      </c>
      <c r="K16" s="2" t="s">
        <v>129</v>
      </c>
      <c r="L16" s="1" t="str">
        <f>J16&amp;","&amp;K16</f>
        <v>-0.60561,103.2226</v>
      </c>
      <c r="M16" s="1">
        <v>10</v>
      </c>
      <c r="N16" s="1">
        <v>1</v>
      </c>
      <c r="O16" s="3">
        <f t="shared" si="0"/>
        <v>1</v>
      </c>
      <c r="P16">
        <f t="shared" si="1"/>
        <v>-67.283270999999999</v>
      </c>
    </row>
    <row r="17" spans="1:16" x14ac:dyDescent="0.25">
      <c r="A17" s="1">
        <v>16</v>
      </c>
      <c r="B17" t="s">
        <v>42</v>
      </c>
      <c r="C17" t="s">
        <v>43</v>
      </c>
      <c r="D17" t="s">
        <v>9</v>
      </c>
      <c r="E17" t="s">
        <v>44</v>
      </c>
      <c r="F17">
        <v>0.51634999999999998</v>
      </c>
      <c r="G17">
        <v>102.09269999999999</v>
      </c>
      <c r="H17" t="s">
        <v>11</v>
      </c>
      <c r="I17" s="1">
        <v>4496</v>
      </c>
      <c r="J17" s="2" t="s">
        <v>105</v>
      </c>
      <c r="K17" s="2" t="s">
        <v>130</v>
      </c>
      <c r="L17" s="1" t="str">
        <f t="shared" si="2"/>
        <v>0.51635,102.0927</v>
      </c>
      <c r="M17" s="1">
        <v>22</v>
      </c>
      <c r="N17" s="1">
        <v>1</v>
      </c>
      <c r="O17" s="3">
        <f t="shared" si="0"/>
        <v>0</v>
      </c>
      <c r="P17">
        <f t="shared" si="1"/>
        <v>57.366484999999997</v>
      </c>
    </row>
    <row r="18" spans="1:16" x14ac:dyDescent="0.25">
      <c r="A18" s="1">
        <v>17</v>
      </c>
      <c r="B18" t="s">
        <v>45</v>
      </c>
      <c r="C18" t="s">
        <v>46</v>
      </c>
      <c r="D18" t="s">
        <v>9</v>
      </c>
      <c r="E18" t="s">
        <v>47</v>
      </c>
      <c r="F18">
        <v>1.09788</v>
      </c>
      <c r="G18">
        <v>100.3064</v>
      </c>
      <c r="H18" t="s">
        <v>11</v>
      </c>
      <c r="I18" s="1">
        <v>5704</v>
      </c>
      <c r="J18" s="2" t="s">
        <v>131</v>
      </c>
      <c r="K18" s="2" t="s">
        <v>132</v>
      </c>
      <c r="L18" s="1" t="str">
        <f t="shared" si="2"/>
        <v>1.09788,100.3064</v>
      </c>
      <c r="M18" s="1">
        <v>69</v>
      </c>
      <c r="N18" s="1">
        <v>1</v>
      </c>
      <c r="O18" s="3">
        <f t="shared" si="0"/>
        <v>0</v>
      </c>
      <c r="P18">
        <f t="shared" si="1"/>
        <v>121.97446799999999</v>
      </c>
    </row>
    <row r="19" spans="1:16" x14ac:dyDescent="0.25">
      <c r="A19" s="1">
        <v>18</v>
      </c>
      <c r="B19" t="s">
        <v>48</v>
      </c>
      <c r="C19" t="s">
        <v>49</v>
      </c>
      <c r="D19" t="s">
        <v>9</v>
      </c>
      <c r="E19" t="s">
        <v>47</v>
      </c>
      <c r="F19">
        <v>0.91354000000000002</v>
      </c>
      <c r="G19">
        <v>100.1932</v>
      </c>
      <c r="H19" t="s">
        <v>11</v>
      </c>
      <c r="I19" s="1">
        <v>6558</v>
      </c>
      <c r="J19" s="2" t="s">
        <v>106</v>
      </c>
      <c r="K19" s="2" t="s">
        <v>133</v>
      </c>
      <c r="L19" s="1" t="str">
        <f t="shared" si="2"/>
        <v>0.91354,100.1932</v>
      </c>
      <c r="M19" s="1">
        <v>82</v>
      </c>
      <c r="N19" s="1">
        <v>1</v>
      </c>
      <c r="O19" s="3">
        <f t="shared" si="0"/>
        <v>0</v>
      </c>
      <c r="P19">
        <f t="shared" si="1"/>
        <v>101.494294</v>
      </c>
    </row>
    <row r="20" spans="1:16" x14ac:dyDescent="0.25">
      <c r="A20" s="1">
        <v>19</v>
      </c>
      <c r="B20" t="s">
        <v>50</v>
      </c>
      <c r="C20" t="s">
        <v>51</v>
      </c>
      <c r="D20" t="s">
        <v>9</v>
      </c>
      <c r="E20" t="s">
        <v>47</v>
      </c>
      <c r="F20">
        <v>0.58157999999999999</v>
      </c>
      <c r="G20">
        <v>100.598</v>
      </c>
      <c r="H20" t="s">
        <v>11</v>
      </c>
      <c r="I20" s="1">
        <v>5827</v>
      </c>
      <c r="J20" s="2" t="s">
        <v>107</v>
      </c>
      <c r="K20" s="2" t="s">
        <v>134</v>
      </c>
      <c r="L20" s="1" t="str">
        <f t="shared" si="2"/>
        <v>0.58158,100.598</v>
      </c>
      <c r="M20" s="1">
        <v>82</v>
      </c>
      <c r="N20" s="1">
        <v>1</v>
      </c>
      <c r="O20" s="3">
        <f t="shared" si="0"/>
        <v>0</v>
      </c>
      <c r="P20">
        <f t="shared" si="1"/>
        <v>64.613537999999991</v>
      </c>
    </row>
    <row r="21" spans="1:16" x14ac:dyDescent="0.25">
      <c r="A21" s="1">
        <v>20</v>
      </c>
      <c r="B21" t="s">
        <v>52</v>
      </c>
      <c r="C21" t="s">
        <v>53</v>
      </c>
      <c r="D21" t="s">
        <v>9</v>
      </c>
      <c r="E21" t="s">
        <v>54</v>
      </c>
      <c r="F21">
        <v>2.17</v>
      </c>
      <c r="G21">
        <v>100.8001</v>
      </c>
      <c r="H21" t="s">
        <v>11</v>
      </c>
      <c r="I21" s="1">
        <v>3539</v>
      </c>
      <c r="J21" s="2" t="s">
        <v>108</v>
      </c>
      <c r="K21" s="2" t="s">
        <v>135</v>
      </c>
      <c r="L21" s="1" t="str">
        <f t="shared" si="2"/>
        <v>2.17,100.8001</v>
      </c>
      <c r="M21" s="1">
        <v>4</v>
      </c>
      <c r="N21" s="1">
        <v>0</v>
      </c>
      <c r="O21" s="3">
        <f t="shared" si="0"/>
        <v>0</v>
      </c>
      <c r="P21">
        <f t="shared" si="1"/>
        <v>241.08699999999999</v>
      </c>
    </row>
    <row r="22" spans="1:16" x14ac:dyDescent="0.25">
      <c r="A22" s="1">
        <v>21</v>
      </c>
      <c r="B22" t="s">
        <v>55</v>
      </c>
      <c r="C22" t="s">
        <v>56</v>
      </c>
      <c r="D22" t="s">
        <v>9</v>
      </c>
      <c r="E22" t="s">
        <v>54</v>
      </c>
      <c r="F22">
        <v>1.5482</v>
      </c>
      <c r="G22">
        <v>101.0247</v>
      </c>
      <c r="H22" t="s">
        <v>11</v>
      </c>
      <c r="I22" s="1">
        <v>1993</v>
      </c>
      <c r="J22" s="2" t="s">
        <v>136</v>
      </c>
      <c r="K22" s="2" t="s">
        <v>137</v>
      </c>
      <c r="L22" s="1" t="str">
        <f t="shared" si="2"/>
        <v>1.5482,101.0247</v>
      </c>
      <c r="M22" s="1">
        <v>21</v>
      </c>
      <c r="N22" s="1">
        <v>1</v>
      </c>
      <c r="O22" s="3">
        <f t="shared" si="0"/>
        <v>0</v>
      </c>
      <c r="P22">
        <f t="shared" si="1"/>
        <v>172.00502</v>
      </c>
    </row>
    <row r="23" spans="1:16" x14ac:dyDescent="0.25">
      <c r="A23" s="1">
        <v>22</v>
      </c>
      <c r="B23" t="s">
        <v>57</v>
      </c>
      <c r="C23" t="s">
        <v>58</v>
      </c>
      <c r="D23" t="s">
        <v>9</v>
      </c>
      <c r="E23" t="s">
        <v>54</v>
      </c>
      <c r="F23">
        <v>1.6786099999999999</v>
      </c>
      <c r="G23">
        <v>101.0454</v>
      </c>
      <c r="H23" t="s">
        <v>11</v>
      </c>
      <c r="I23" s="1">
        <v>4811</v>
      </c>
      <c r="J23" s="2" t="s">
        <v>138</v>
      </c>
      <c r="K23" s="2" t="s">
        <v>139</v>
      </c>
      <c r="L23" s="1" t="str">
        <f t="shared" si="2"/>
        <v>1.67861,101.0454</v>
      </c>
      <c r="M23" s="1">
        <v>13</v>
      </c>
      <c r="N23" s="1">
        <v>0</v>
      </c>
      <c r="O23" s="3">
        <f t="shared" si="0"/>
        <v>0</v>
      </c>
      <c r="P23">
        <f t="shared" si="1"/>
        <v>186.49357099999997</v>
      </c>
    </row>
    <row r="24" spans="1:16" x14ac:dyDescent="0.25">
      <c r="A24" s="1">
        <v>23</v>
      </c>
      <c r="B24" t="s">
        <v>59</v>
      </c>
      <c r="C24" t="s">
        <v>60</v>
      </c>
      <c r="D24" t="s">
        <v>9</v>
      </c>
      <c r="E24" t="s">
        <v>61</v>
      </c>
      <c r="F24">
        <v>0.77</v>
      </c>
      <c r="G24">
        <v>101.8</v>
      </c>
      <c r="H24" t="s">
        <v>11</v>
      </c>
      <c r="I24" s="1">
        <v>799</v>
      </c>
      <c r="J24" s="2" t="s">
        <v>109</v>
      </c>
      <c r="K24" s="2" t="s">
        <v>110</v>
      </c>
      <c r="L24" s="1" t="str">
        <f t="shared" si="2"/>
        <v>0.77,101.8</v>
      </c>
      <c r="M24" s="1">
        <v>16</v>
      </c>
      <c r="N24" s="1">
        <v>1</v>
      </c>
      <c r="O24" s="3">
        <f t="shared" si="0"/>
        <v>0</v>
      </c>
      <c r="P24">
        <f t="shared" si="1"/>
        <v>85.546999999999997</v>
      </c>
    </row>
    <row r="25" spans="1:16" x14ac:dyDescent="0.25">
      <c r="A25" s="1">
        <v>24</v>
      </c>
      <c r="B25" t="s">
        <v>62</v>
      </c>
      <c r="C25" t="s">
        <v>63</v>
      </c>
      <c r="D25" t="s">
        <v>9</v>
      </c>
      <c r="E25" t="s">
        <v>61</v>
      </c>
      <c r="F25">
        <v>0.75</v>
      </c>
      <c r="G25">
        <v>102.13330000000001</v>
      </c>
      <c r="H25" t="s">
        <v>11</v>
      </c>
      <c r="I25" s="1">
        <v>4569</v>
      </c>
      <c r="J25" s="2" t="s">
        <v>111</v>
      </c>
      <c r="K25" s="2" t="s">
        <v>140</v>
      </c>
      <c r="L25" s="1" t="str">
        <f t="shared" si="2"/>
        <v>0.75,102.1333</v>
      </c>
      <c r="M25" s="1">
        <v>36</v>
      </c>
      <c r="N25" s="1">
        <v>1</v>
      </c>
      <c r="O25" s="3">
        <f t="shared" si="0"/>
        <v>0</v>
      </c>
      <c r="P25">
        <f t="shared" si="1"/>
        <v>83.324999999999989</v>
      </c>
    </row>
    <row r="26" spans="1:16" x14ac:dyDescent="0.25">
      <c r="A26" s="1">
        <v>25</v>
      </c>
      <c r="B26" t="s">
        <v>64</v>
      </c>
      <c r="C26" t="s">
        <v>65</v>
      </c>
      <c r="D26" t="s">
        <v>9</v>
      </c>
      <c r="E26" t="s">
        <v>61</v>
      </c>
      <c r="F26">
        <v>0.83330000000000004</v>
      </c>
      <c r="G26">
        <v>101.36669999999999</v>
      </c>
      <c r="H26" t="s">
        <v>11</v>
      </c>
      <c r="I26" s="1">
        <v>5036</v>
      </c>
      <c r="J26" s="2" t="s">
        <v>112</v>
      </c>
      <c r="K26" s="2" t="s">
        <v>141</v>
      </c>
      <c r="L26" s="1" t="str">
        <f t="shared" si="2"/>
        <v>0.8333,101.3667</v>
      </c>
      <c r="M26" s="1">
        <v>82</v>
      </c>
      <c r="N26" s="1">
        <v>1</v>
      </c>
      <c r="O26" s="3">
        <f t="shared" si="0"/>
        <v>0</v>
      </c>
      <c r="P26">
        <f t="shared" si="1"/>
        <v>92.579629999999995</v>
      </c>
    </row>
    <row r="27" spans="1:16" x14ac:dyDescent="0.25">
      <c r="A27" s="1">
        <v>26</v>
      </c>
      <c r="B27" t="s">
        <v>66</v>
      </c>
      <c r="C27" t="s">
        <v>67</v>
      </c>
      <c r="D27" t="s">
        <v>9</v>
      </c>
      <c r="E27" t="s">
        <v>61</v>
      </c>
      <c r="F27">
        <v>0.83330000000000004</v>
      </c>
      <c r="G27">
        <v>101.66670000000001</v>
      </c>
      <c r="H27" t="s">
        <v>11</v>
      </c>
      <c r="I27" s="1">
        <v>7702</v>
      </c>
      <c r="J27" s="2" t="s">
        <v>112</v>
      </c>
      <c r="K27" s="2" t="s">
        <v>142</v>
      </c>
      <c r="L27" s="1" t="str">
        <f>J27&amp;","&amp;K27</f>
        <v>0.8333,101.6667</v>
      </c>
      <c r="M27" s="1">
        <v>16</v>
      </c>
      <c r="N27" s="1">
        <v>0</v>
      </c>
      <c r="O27" s="3">
        <f t="shared" si="0"/>
        <v>0</v>
      </c>
      <c r="P27">
        <f t="shared" si="1"/>
        <v>92.579629999999995</v>
      </c>
    </row>
    <row r="28" spans="1:16" x14ac:dyDescent="0.25">
      <c r="A28" s="1">
        <v>27</v>
      </c>
      <c r="B28" t="s">
        <v>68</v>
      </c>
      <c r="C28" t="s">
        <v>69</v>
      </c>
      <c r="D28" t="s">
        <v>9</v>
      </c>
      <c r="E28" t="s">
        <v>61</v>
      </c>
      <c r="F28">
        <v>0.75</v>
      </c>
      <c r="G28">
        <v>101.36669999999999</v>
      </c>
      <c r="H28" t="s">
        <v>11</v>
      </c>
      <c r="I28" s="1">
        <v>1129</v>
      </c>
      <c r="J28" s="2" t="s">
        <v>111</v>
      </c>
      <c r="K28" s="2" t="s">
        <v>141</v>
      </c>
      <c r="L28" s="1" t="str">
        <f t="shared" si="2"/>
        <v>0.75,101.3667</v>
      </c>
      <c r="M28" s="1">
        <v>44</v>
      </c>
      <c r="N28" s="1">
        <v>1</v>
      </c>
      <c r="O28" s="3">
        <f t="shared" si="0"/>
        <v>0</v>
      </c>
      <c r="P28">
        <f t="shared" si="1"/>
        <v>83.324999999999989</v>
      </c>
    </row>
    <row r="29" spans="1:16" x14ac:dyDescent="0.25">
      <c r="A29" s="1">
        <v>28</v>
      </c>
      <c r="B29" t="s">
        <v>70</v>
      </c>
      <c r="C29" t="s">
        <v>71</v>
      </c>
      <c r="D29" t="s">
        <v>9</v>
      </c>
      <c r="E29" t="s">
        <v>61</v>
      </c>
      <c r="F29">
        <v>0.61248000000000002</v>
      </c>
      <c r="G29">
        <v>101.7749</v>
      </c>
      <c r="H29" t="s">
        <v>11</v>
      </c>
      <c r="I29" s="1">
        <v>7094</v>
      </c>
      <c r="J29" s="2" t="s">
        <v>113</v>
      </c>
      <c r="K29" s="2" t="s">
        <v>143</v>
      </c>
      <c r="L29" s="1" t="str">
        <f>J29&amp;","&amp;K29</f>
        <v>0.61248,101.7749</v>
      </c>
      <c r="M29" s="1">
        <v>22</v>
      </c>
      <c r="N29" s="1">
        <v>1</v>
      </c>
      <c r="O29" s="3">
        <f t="shared" si="0"/>
        <v>0</v>
      </c>
      <c r="P29">
        <f t="shared" si="1"/>
        <v>68.046527999999995</v>
      </c>
    </row>
    <row r="30" spans="1:16" x14ac:dyDescent="0.25">
      <c r="A30" s="1">
        <v>29</v>
      </c>
      <c r="B30" t="s">
        <v>72</v>
      </c>
      <c r="C30" t="s">
        <v>73</v>
      </c>
      <c r="D30" t="s">
        <v>9</v>
      </c>
      <c r="E30" t="s">
        <v>61</v>
      </c>
      <c r="F30">
        <v>1.14628</v>
      </c>
      <c r="G30">
        <v>102.12949999999999</v>
      </c>
      <c r="H30" t="s">
        <v>11</v>
      </c>
      <c r="I30" s="1">
        <v>7309</v>
      </c>
      <c r="J30" s="2" t="s">
        <v>144</v>
      </c>
      <c r="K30" s="2" t="s">
        <v>145</v>
      </c>
      <c r="L30" s="1" t="str">
        <f t="shared" si="2"/>
        <v>1.14628,102.1295</v>
      </c>
      <c r="M30" s="1">
        <v>11</v>
      </c>
      <c r="N30" s="1">
        <v>0</v>
      </c>
      <c r="O30" s="3">
        <f t="shared" si="0"/>
        <v>0</v>
      </c>
      <c r="P30">
        <f t="shared" si="1"/>
        <v>127.35170799999999</v>
      </c>
    </row>
    <row r="31" spans="1:16" x14ac:dyDescent="0.25">
      <c r="A31" s="1">
        <v>30</v>
      </c>
      <c r="B31" t="s">
        <v>74</v>
      </c>
      <c r="C31" t="s">
        <v>75</v>
      </c>
      <c r="D31" t="s">
        <v>9</v>
      </c>
      <c r="E31" t="s">
        <v>76</v>
      </c>
      <c r="F31">
        <v>-0.38329999999999997</v>
      </c>
      <c r="G31">
        <v>101.35</v>
      </c>
      <c r="H31" t="s">
        <v>11</v>
      </c>
      <c r="I31" s="1">
        <v>4312</v>
      </c>
      <c r="J31" s="2" t="s">
        <v>114</v>
      </c>
      <c r="K31" s="2" t="s">
        <v>115</v>
      </c>
      <c r="L31" s="1" t="str">
        <f t="shared" si="2"/>
        <v>-0.3833,101.35</v>
      </c>
      <c r="M31" s="1">
        <v>85</v>
      </c>
      <c r="N31" s="1">
        <v>0</v>
      </c>
      <c r="O31" s="3">
        <f t="shared" si="0"/>
        <v>1</v>
      </c>
      <c r="P31">
        <f t="shared" si="1"/>
        <v>-42.584629999999997</v>
      </c>
    </row>
    <row r="32" spans="1:16" x14ac:dyDescent="0.25">
      <c r="A32" s="1">
        <v>31</v>
      </c>
      <c r="B32" t="s">
        <v>77</v>
      </c>
      <c r="C32" t="s">
        <v>78</v>
      </c>
      <c r="D32" t="s">
        <v>9</v>
      </c>
      <c r="E32" t="s">
        <v>79</v>
      </c>
      <c r="F32">
        <v>0.48820000000000002</v>
      </c>
      <c r="G32">
        <v>101.43729999999999</v>
      </c>
      <c r="H32" t="s">
        <v>11</v>
      </c>
      <c r="I32" s="1">
        <v>771</v>
      </c>
      <c r="J32" s="2" t="s">
        <v>116</v>
      </c>
      <c r="K32" s="2" t="s">
        <v>146</v>
      </c>
      <c r="L32" s="1" t="str">
        <f t="shared" si="2"/>
        <v>0.4882,101.4373</v>
      </c>
      <c r="M32" s="1">
        <v>12</v>
      </c>
      <c r="N32" s="1">
        <v>0</v>
      </c>
      <c r="O32" s="3">
        <f t="shared" si="0"/>
        <v>0</v>
      </c>
      <c r="P32">
        <f t="shared" si="1"/>
        <v>54.239019999999996</v>
      </c>
    </row>
    <row r="33" spans="1:16" x14ac:dyDescent="0.25">
      <c r="A33" s="1">
        <v>32</v>
      </c>
      <c r="B33" t="s">
        <v>80</v>
      </c>
      <c r="C33" t="s">
        <v>81</v>
      </c>
      <c r="D33" t="s">
        <v>9</v>
      </c>
      <c r="E33" t="s">
        <v>82</v>
      </c>
      <c r="F33">
        <v>1.63</v>
      </c>
      <c r="G33">
        <v>101.499</v>
      </c>
      <c r="H33" t="s">
        <v>11</v>
      </c>
      <c r="I33" s="1">
        <v>1028</v>
      </c>
      <c r="J33" s="2" t="s">
        <v>117</v>
      </c>
      <c r="K33" s="2" t="s">
        <v>147</v>
      </c>
      <c r="L33" s="1" t="str">
        <f t="shared" si="2"/>
        <v>1.63,101.499</v>
      </c>
      <c r="M33" s="1">
        <v>5</v>
      </c>
      <c r="N33" s="1">
        <v>1</v>
      </c>
      <c r="O33" s="3">
        <f t="shared" si="0"/>
        <v>0</v>
      </c>
      <c r="P33">
        <f t="shared" si="1"/>
        <v>181.09299999999999</v>
      </c>
    </row>
  </sheetData>
  <sortState xmlns:xlrd2="http://schemas.microsoft.com/office/spreadsheetml/2017/richdata2" ref="A2:I33">
    <sortCondition ref="A2:A3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F22F-70C0-4FDC-A2C8-97D040867D25}">
  <dimension ref="A1:O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9" activeCellId="1" sqref="A2:A6 A29:A33"/>
    </sheetView>
  </sheetViews>
  <sheetFormatPr defaultRowHeight="15" x14ac:dyDescent="0.25"/>
  <cols>
    <col min="1" max="1" width="9.140625" style="1"/>
    <col min="2" max="2" width="10" bestFit="1" customWidth="1"/>
    <col min="3" max="3" width="32" bestFit="1" customWidth="1"/>
    <col min="5" max="5" width="20.28515625" bestFit="1" customWidth="1"/>
    <col min="8" max="8" width="10.7109375" bestFit="1" customWidth="1"/>
    <col min="9" max="9" width="17.85546875" customWidth="1"/>
    <col min="10" max="11" width="12.7109375" style="1" customWidth="1"/>
    <col min="12" max="12" width="16.5703125" style="1" bestFit="1" customWidth="1"/>
    <col min="13" max="13" width="9.28515625" style="1" bestFit="1" customWidth="1"/>
    <col min="14" max="14" width="8.42578125" style="1" bestFit="1" customWidth="1"/>
    <col min="15" max="15" width="9.140625" style="3"/>
  </cols>
  <sheetData>
    <row r="1" spans="1:15" x14ac:dyDescent="0.25">
      <c r="A1" s="1" t="s">
        <v>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83</v>
      </c>
      <c r="J1" s="2" t="s">
        <v>4</v>
      </c>
      <c r="K1" s="2" t="s">
        <v>5</v>
      </c>
      <c r="L1" s="1" t="s">
        <v>86</v>
      </c>
      <c r="M1" s="1" t="s">
        <v>148</v>
      </c>
      <c r="N1" s="1" t="s">
        <v>149</v>
      </c>
      <c r="O1" s="1" t="s">
        <v>150</v>
      </c>
    </row>
    <row r="2" spans="1:15" x14ac:dyDescent="0.25">
      <c r="A2" s="1">
        <v>20</v>
      </c>
      <c r="B2" t="s">
        <v>52</v>
      </c>
      <c r="C2" t="s">
        <v>53</v>
      </c>
      <c r="D2" t="s">
        <v>9</v>
      </c>
      <c r="E2" t="s">
        <v>54</v>
      </c>
      <c r="F2" s="4">
        <v>2.17</v>
      </c>
      <c r="G2">
        <v>100.8001</v>
      </c>
      <c r="H2" t="s">
        <v>11</v>
      </c>
      <c r="I2" s="1">
        <v>3539</v>
      </c>
      <c r="J2" s="2" t="s">
        <v>108</v>
      </c>
      <c r="K2" s="2" t="s">
        <v>135</v>
      </c>
      <c r="L2" s="1" t="str">
        <f t="shared" ref="L2:L33" si="0">J2&amp;","&amp;K2</f>
        <v>2.17,100.8001</v>
      </c>
      <c r="M2" s="1">
        <v>4</v>
      </c>
      <c r="N2" s="1">
        <v>0</v>
      </c>
      <c r="O2" s="3">
        <f t="shared" ref="O2:O33" si="1">IF(F2&lt;0,1,0)</f>
        <v>0</v>
      </c>
    </row>
    <row r="3" spans="1:15" x14ac:dyDescent="0.25">
      <c r="A3" s="1">
        <v>7</v>
      </c>
      <c r="B3" t="s">
        <v>23</v>
      </c>
      <c r="C3" t="s">
        <v>24</v>
      </c>
      <c r="D3" t="s">
        <v>9</v>
      </c>
      <c r="E3" t="s">
        <v>25</v>
      </c>
      <c r="F3" s="4">
        <v>1.91127</v>
      </c>
      <c r="G3">
        <v>101.6151</v>
      </c>
      <c r="H3" t="s">
        <v>11</v>
      </c>
      <c r="I3" s="1">
        <v>7365</v>
      </c>
      <c r="J3" s="2" t="s">
        <v>121</v>
      </c>
      <c r="K3" s="2" t="s">
        <v>122</v>
      </c>
      <c r="L3" s="1" t="str">
        <f t="shared" si="0"/>
        <v>1.91127,101.6151</v>
      </c>
      <c r="M3" s="1">
        <v>27</v>
      </c>
      <c r="N3" s="1">
        <v>1</v>
      </c>
      <c r="O3" s="3">
        <f t="shared" si="1"/>
        <v>0</v>
      </c>
    </row>
    <row r="4" spans="1:15" x14ac:dyDescent="0.25">
      <c r="A4" s="1">
        <v>22</v>
      </c>
      <c r="B4" t="s">
        <v>57</v>
      </c>
      <c r="C4" t="s">
        <v>58</v>
      </c>
      <c r="D4" t="s">
        <v>9</v>
      </c>
      <c r="E4" t="s">
        <v>54</v>
      </c>
      <c r="F4" s="4">
        <v>1.6786099999999999</v>
      </c>
      <c r="G4">
        <v>101.0454</v>
      </c>
      <c r="H4" t="s">
        <v>11</v>
      </c>
      <c r="I4" s="1">
        <v>4811</v>
      </c>
      <c r="J4" s="2" t="s">
        <v>138</v>
      </c>
      <c r="K4" s="2" t="s">
        <v>139</v>
      </c>
      <c r="L4" s="1" t="str">
        <f t="shared" si="0"/>
        <v>1.67861,101.0454</v>
      </c>
      <c r="M4" s="1">
        <v>13</v>
      </c>
      <c r="N4" s="1">
        <v>0</v>
      </c>
      <c r="O4" s="3">
        <f t="shared" si="1"/>
        <v>0</v>
      </c>
    </row>
    <row r="5" spans="1:15" x14ac:dyDescent="0.25">
      <c r="A5" s="1">
        <v>32</v>
      </c>
      <c r="B5" t="s">
        <v>80</v>
      </c>
      <c r="C5" t="s">
        <v>81</v>
      </c>
      <c r="D5" t="s">
        <v>9</v>
      </c>
      <c r="E5" t="s">
        <v>82</v>
      </c>
      <c r="F5" s="4">
        <v>1.63</v>
      </c>
      <c r="G5">
        <v>101.499</v>
      </c>
      <c r="H5" t="s">
        <v>11</v>
      </c>
      <c r="I5" s="1">
        <v>1028</v>
      </c>
      <c r="J5" s="2" t="s">
        <v>117</v>
      </c>
      <c r="K5" s="2" t="s">
        <v>147</v>
      </c>
      <c r="L5" s="1" t="str">
        <f t="shared" si="0"/>
        <v>1.63,101.499</v>
      </c>
      <c r="M5" s="1">
        <v>5</v>
      </c>
      <c r="N5" s="1">
        <v>1</v>
      </c>
      <c r="O5" s="3">
        <f t="shared" si="1"/>
        <v>0</v>
      </c>
    </row>
    <row r="6" spans="1:15" x14ac:dyDescent="0.25">
      <c r="A6" s="1">
        <v>21</v>
      </c>
      <c r="B6" t="s">
        <v>55</v>
      </c>
      <c r="C6" t="s">
        <v>56</v>
      </c>
      <c r="D6" t="s">
        <v>9</v>
      </c>
      <c r="E6" t="s">
        <v>54</v>
      </c>
      <c r="F6" s="4">
        <v>1.5482</v>
      </c>
      <c r="G6">
        <v>101.0247</v>
      </c>
      <c r="H6" t="s">
        <v>11</v>
      </c>
      <c r="I6" s="1">
        <v>1993</v>
      </c>
      <c r="J6" s="2" t="s">
        <v>136</v>
      </c>
      <c r="K6" s="2" t="s">
        <v>137</v>
      </c>
      <c r="L6" s="1" t="str">
        <f t="shared" si="0"/>
        <v>1.5482,101.0247</v>
      </c>
      <c r="M6" s="1">
        <v>21</v>
      </c>
      <c r="N6" s="1">
        <v>1</v>
      </c>
      <c r="O6" s="3">
        <f t="shared" si="1"/>
        <v>0</v>
      </c>
    </row>
    <row r="7" spans="1:15" x14ac:dyDescent="0.25">
      <c r="A7" s="1">
        <v>29</v>
      </c>
      <c r="B7" t="s">
        <v>72</v>
      </c>
      <c r="C7" t="s">
        <v>73</v>
      </c>
      <c r="D7" t="s">
        <v>9</v>
      </c>
      <c r="E7" t="s">
        <v>61</v>
      </c>
      <c r="F7">
        <v>1.14628</v>
      </c>
      <c r="G7">
        <v>102.12949999999999</v>
      </c>
      <c r="H7" t="s">
        <v>11</v>
      </c>
      <c r="I7" s="1">
        <v>7309</v>
      </c>
      <c r="J7" s="2" t="s">
        <v>144</v>
      </c>
      <c r="K7" s="2" t="s">
        <v>145</v>
      </c>
      <c r="L7" s="1" t="str">
        <f t="shared" si="0"/>
        <v>1.14628,102.1295</v>
      </c>
      <c r="M7" s="1">
        <v>11</v>
      </c>
      <c r="N7" s="1">
        <v>0</v>
      </c>
      <c r="O7" s="3">
        <f t="shared" si="1"/>
        <v>0</v>
      </c>
    </row>
    <row r="8" spans="1:15" x14ac:dyDescent="0.25">
      <c r="A8" s="1">
        <v>17</v>
      </c>
      <c r="B8" t="s">
        <v>45</v>
      </c>
      <c r="C8" t="s">
        <v>46</v>
      </c>
      <c r="D8" t="s">
        <v>9</v>
      </c>
      <c r="E8" t="s">
        <v>47</v>
      </c>
      <c r="F8">
        <v>1.09788</v>
      </c>
      <c r="G8">
        <v>100.3064</v>
      </c>
      <c r="H8" t="s">
        <v>11</v>
      </c>
      <c r="I8" s="1">
        <v>5704</v>
      </c>
      <c r="J8" s="2" t="s">
        <v>131</v>
      </c>
      <c r="K8" s="2" t="s">
        <v>132</v>
      </c>
      <c r="L8" s="1" t="str">
        <f t="shared" si="0"/>
        <v>1.09788,100.3064</v>
      </c>
      <c r="M8" s="1">
        <v>69</v>
      </c>
      <c r="N8" s="1">
        <v>1</v>
      </c>
      <c r="O8" s="3">
        <f t="shared" si="1"/>
        <v>0</v>
      </c>
    </row>
    <row r="9" spans="1:15" x14ac:dyDescent="0.25">
      <c r="A9" s="1">
        <v>18</v>
      </c>
      <c r="B9" t="s">
        <v>48</v>
      </c>
      <c r="C9" t="s">
        <v>49</v>
      </c>
      <c r="D9" t="s">
        <v>9</v>
      </c>
      <c r="E9" t="s">
        <v>47</v>
      </c>
      <c r="F9">
        <v>0.91354000000000002</v>
      </c>
      <c r="G9">
        <v>100.1932</v>
      </c>
      <c r="H9" t="s">
        <v>11</v>
      </c>
      <c r="I9" s="1">
        <v>6558</v>
      </c>
      <c r="J9" s="2" t="s">
        <v>106</v>
      </c>
      <c r="K9" s="2" t="s">
        <v>133</v>
      </c>
      <c r="L9" s="1" t="str">
        <f t="shared" si="0"/>
        <v>0.91354,100.1932</v>
      </c>
      <c r="M9" s="1">
        <v>82</v>
      </c>
      <c r="N9" s="1">
        <v>1</v>
      </c>
      <c r="O9" s="3">
        <f t="shared" si="1"/>
        <v>0</v>
      </c>
    </row>
    <row r="10" spans="1:15" x14ac:dyDescent="0.25">
      <c r="A10" s="1">
        <v>25</v>
      </c>
      <c r="B10" t="s">
        <v>64</v>
      </c>
      <c r="C10" t="s">
        <v>65</v>
      </c>
      <c r="D10" t="s">
        <v>9</v>
      </c>
      <c r="E10" t="s">
        <v>61</v>
      </c>
      <c r="F10">
        <v>0.83330000000000004</v>
      </c>
      <c r="G10">
        <v>101.36669999999999</v>
      </c>
      <c r="H10" t="s">
        <v>11</v>
      </c>
      <c r="I10" s="1">
        <v>5036</v>
      </c>
      <c r="J10" s="2" t="s">
        <v>112</v>
      </c>
      <c r="K10" s="2" t="s">
        <v>141</v>
      </c>
      <c r="L10" s="1" t="str">
        <f t="shared" si="0"/>
        <v>0.8333,101.3667</v>
      </c>
      <c r="M10" s="1">
        <v>82</v>
      </c>
      <c r="N10" s="1">
        <v>1</v>
      </c>
      <c r="O10" s="3">
        <f t="shared" si="1"/>
        <v>0</v>
      </c>
    </row>
    <row r="11" spans="1:15" x14ac:dyDescent="0.25">
      <c r="A11" s="1">
        <v>26</v>
      </c>
      <c r="B11" t="s">
        <v>66</v>
      </c>
      <c r="C11" t="s">
        <v>67</v>
      </c>
      <c r="D11" t="s">
        <v>9</v>
      </c>
      <c r="E11" t="s">
        <v>61</v>
      </c>
      <c r="F11">
        <v>0.83330000000000004</v>
      </c>
      <c r="G11">
        <v>101.66670000000001</v>
      </c>
      <c r="H11" t="s">
        <v>11</v>
      </c>
      <c r="I11" s="1">
        <v>7702</v>
      </c>
      <c r="J11" s="2" t="s">
        <v>112</v>
      </c>
      <c r="K11" s="2" t="s">
        <v>142</v>
      </c>
      <c r="L11" s="1" t="str">
        <f t="shared" si="0"/>
        <v>0.8333,101.6667</v>
      </c>
      <c r="M11" s="1">
        <v>16</v>
      </c>
      <c r="N11" s="1">
        <v>0</v>
      </c>
      <c r="O11" s="3">
        <f t="shared" si="1"/>
        <v>0</v>
      </c>
    </row>
    <row r="12" spans="1:15" x14ac:dyDescent="0.25">
      <c r="A12" s="1">
        <v>23</v>
      </c>
      <c r="B12" t="s">
        <v>59</v>
      </c>
      <c r="C12" t="s">
        <v>60</v>
      </c>
      <c r="D12" t="s">
        <v>9</v>
      </c>
      <c r="E12" t="s">
        <v>61</v>
      </c>
      <c r="F12">
        <v>0.77</v>
      </c>
      <c r="G12">
        <v>101.8</v>
      </c>
      <c r="H12" t="s">
        <v>11</v>
      </c>
      <c r="I12" s="1">
        <v>799</v>
      </c>
      <c r="J12" s="2" t="s">
        <v>109</v>
      </c>
      <c r="K12" s="2" t="s">
        <v>110</v>
      </c>
      <c r="L12" s="1" t="str">
        <f t="shared" si="0"/>
        <v>0.77,101.8</v>
      </c>
      <c r="M12" s="1">
        <v>16</v>
      </c>
      <c r="N12" s="1">
        <v>1</v>
      </c>
      <c r="O12" s="3">
        <f t="shared" si="1"/>
        <v>0</v>
      </c>
    </row>
    <row r="13" spans="1:15" x14ac:dyDescent="0.25">
      <c r="A13" s="1">
        <v>24</v>
      </c>
      <c r="B13" t="s">
        <v>62</v>
      </c>
      <c r="C13" t="s">
        <v>63</v>
      </c>
      <c r="D13" t="s">
        <v>9</v>
      </c>
      <c r="E13" t="s">
        <v>61</v>
      </c>
      <c r="F13">
        <v>0.75</v>
      </c>
      <c r="G13">
        <v>102.13330000000001</v>
      </c>
      <c r="H13" t="s">
        <v>11</v>
      </c>
      <c r="I13" s="1">
        <v>4569</v>
      </c>
      <c r="J13" s="2" t="s">
        <v>111</v>
      </c>
      <c r="K13" s="2" t="s">
        <v>140</v>
      </c>
      <c r="L13" s="1" t="str">
        <f t="shared" si="0"/>
        <v>0.75,102.1333</v>
      </c>
      <c r="M13" s="1">
        <v>36</v>
      </c>
      <c r="N13" s="1">
        <v>1</v>
      </c>
      <c r="O13" s="3">
        <f t="shared" si="1"/>
        <v>0</v>
      </c>
    </row>
    <row r="14" spans="1:15" x14ac:dyDescent="0.25">
      <c r="A14" s="1">
        <v>27</v>
      </c>
      <c r="B14" t="s">
        <v>68</v>
      </c>
      <c r="C14" t="s">
        <v>69</v>
      </c>
      <c r="D14" t="s">
        <v>9</v>
      </c>
      <c r="E14" t="s">
        <v>61</v>
      </c>
      <c r="F14">
        <v>0.75</v>
      </c>
      <c r="G14">
        <v>101.36669999999999</v>
      </c>
      <c r="H14" t="s">
        <v>11</v>
      </c>
      <c r="I14" s="1">
        <v>1129</v>
      </c>
      <c r="J14" s="2" t="s">
        <v>111</v>
      </c>
      <c r="K14" s="2" t="s">
        <v>141</v>
      </c>
      <c r="L14" s="1" t="str">
        <f t="shared" si="0"/>
        <v>0.75,101.3667</v>
      </c>
      <c r="M14" s="1">
        <v>44</v>
      </c>
      <c r="N14" s="1">
        <v>1</v>
      </c>
      <c r="O14" s="3">
        <f t="shared" si="1"/>
        <v>0</v>
      </c>
    </row>
    <row r="15" spans="1:15" x14ac:dyDescent="0.25">
      <c r="A15" s="1">
        <v>28</v>
      </c>
      <c r="B15" t="s">
        <v>70</v>
      </c>
      <c r="C15" t="s">
        <v>71</v>
      </c>
      <c r="D15" t="s">
        <v>9</v>
      </c>
      <c r="E15" t="s">
        <v>61</v>
      </c>
      <c r="F15">
        <v>0.61248000000000002</v>
      </c>
      <c r="G15">
        <v>101.7749</v>
      </c>
      <c r="H15" t="s">
        <v>11</v>
      </c>
      <c r="I15" s="1">
        <v>7094</v>
      </c>
      <c r="J15" s="2" t="s">
        <v>113</v>
      </c>
      <c r="K15" s="2" t="s">
        <v>143</v>
      </c>
      <c r="L15" s="1" t="str">
        <f t="shared" si="0"/>
        <v>0.61248,101.7749</v>
      </c>
      <c r="M15" s="1">
        <v>22</v>
      </c>
      <c r="N15" s="1">
        <v>1</v>
      </c>
      <c r="O15" s="3">
        <f t="shared" si="1"/>
        <v>0</v>
      </c>
    </row>
    <row r="16" spans="1:15" x14ac:dyDescent="0.25">
      <c r="A16" s="1">
        <v>19</v>
      </c>
      <c r="B16" t="s">
        <v>50</v>
      </c>
      <c r="C16" t="s">
        <v>51</v>
      </c>
      <c r="D16" t="s">
        <v>9</v>
      </c>
      <c r="E16" t="s">
        <v>47</v>
      </c>
      <c r="F16">
        <v>0.58157999999999999</v>
      </c>
      <c r="G16">
        <v>100.598</v>
      </c>
      <c r="H16" t="s">
        <v>11</v>
      </c>
      <c r="I16" s="1">
        <v>5827</v>
      </c>
      <c r="J16" s="2" t="s">
        <v>107</v>
      </c>
      <c r="K16" s="2" t="s">
        <v>134</v>
      </c>
      <c r="L16" s="1" t="str">
        <f t="shared" si="0"/>
        <v>0.58158,100.598</v>
      </c>
      <c r="M16" s="1">
        <v>82</v>
      </c>
      <c r="N16" s="1">
        <v>1</v>
      </c>
      <c r="O16" s="3">
        <f t="shared" si="1"/>
        <v>0</v>
      </c>
    </row>
    <row r="17" spans="1:15" x14ac:dyDescent="0.25">
      <c r="A17" s="1">
        <v>16</v>
      </c>
      <c r="B17" t="s">
        <v>42</v>
      </c>
      <c r="C17" t="s">
        <v>43</v>
      </c>
      <c r="D17" t="s">
        <v>9</v>
      </c>
      <c r="E17" t="s">
        <v>44</v>
      </c>
      <c r="F17">
        <v>0.51634999999999998</v>
      </c>
      <c r="G17">
        <v>102.09269999999999</v>
      </c>
      <c r="H17" t="s">
        <v>11</v>
      </c>
      <c r="I17" s="1">
        <v>4496</v>
      </c>
      <c r="J17" s="2" t="s">
        <v>105</v>
      </c>
      <c r="K17" s="2" t="s">
        <v>130</v>
      </c>
      <c r="L17" s="1" t="str">
        <f t="shared" si="0"/>
        <v>0.51635,102.0927</v>
      </c>
      <c r="M17" s="1">
        <v>22</v>
      </c>
      <c r="N17" s="1">
        <v>1</v>
      </c>
      <c r="O17" s="3">
        <f t="shared" si="1"/>
        <v>0</v>
      </c>
    </row>
    <row r="18" spans="1:15" x14ac:dyDescent="0.25">
      <c r="A18" s="1">
        <v>31</v>
      </c>
      <c r="B18" t="s">
        <v>77</v>
      </c>
      <c r="C18" t="s">
        <v>78</v>
      </c>
      <c r="D18" t="s">
        <v>9</v>
      </c>
      <c r="E18" t="s">
        <v>79</v>
      </c>
      <c r="F18">
        <v>0.48820000000000002</v>
      </c>
      <c r="G18">
        <v>101.43729999999999</v>
      </c>
      <c r="H18" t="s">
        <v>11</v>
      </c>
      <c r="I18" s="1">
        <v>771</v>
      </c>
      <c r="J18" s="2" t="s">
        <v>116</v>
      </c>
      <c r="K18" s="2" t="s">
        <v>146</v>
      </c>
      <c r="L18" s="1" t="str">
        <f t="shared" si="0"/>
        <v>0.4882,101.4373</v>
      </c>
      <c r="M18" s="1">
        <v>12</v>
      </c>
      <c r="N18" s="1">
        <v>0</v>
      </c>
      <c r="O18" s="3">
        <f t="shared" si="1"/>
        <v>0</v>
      </c>
    </row>
    <row r="19" spans="1:15" x14ac:dyDescent="0.25">
      <c r="A19" s="1">
        <v>3</v>
      </c>
      <c r="B19" t="s">
        <v>14</v>
      </c>
      <c r="C19" t="s">
        <v>15</v>
      </c>
      <c r="D19" t="s">
        <v>9</v>
      </c>
      <c r="E19" t="s">
        <v>10</v>
      </c>
      <c r="F19">
        <v>0.4667</v>
      </c>
      <c r="G19">
        <v>101.15</v>
      </c>
      <c r="H19" t="s">
        <v>11</v>
      </c>
      <c r="I19" s="1">
        <v>4782</v>
      </c>
      <c r="J19" s="2" t="s">
        <v>90</v>
      </c>
      <c r="K19" s="2" t="s">
        <v>91</v>
      </c>
      <c r="L19" s="1" t="str">
        <f t="shared" si="0"/>
        <v>0.4667,101.15</v>
      </c>
      <c r="M19" s="1">
        <v>62</v>
      </c>
      <c r="N19" s="1">
        <v>1</v>
      </c>
      <c r="O19" s="3">
        <f t="shared" si="1"/>
        <v>0</v>
      </c>
    </row>
    <row r="20" spans="1:15" x14ac:dyDescent="0.25">
      <c r="A20" s="1">
        <v>1</v>
      </c>
      <c r="B20" t="s">
        <v>7</v>
      </c>
      <c r="C20" t="s">
        <v>8</v>
      </c>
      <c r="D20" t="s">
        <v>9</v>
      </c>
      <c r="E20" t="s">
        <v>10</v>
      </c>
      <c r="F20">
        <v>0.33329999999999999</v>
      </c>
      <c r="G20">
        <v>101.0333</v>
      </c>
      <c r="H20" t="s">
        <v>11</v>
      </c>
      <c r="I20" s="1">
        <v>3310</v>
      </c>
      <c r="J20" s="2" t="s">
        <v>87</v>
      </c>
      <c r="K20" s="2" t="s">
        <v>118</v>
      </c>
      <c r="L20" s="1" t="str">
        <f t="shared" si="0"/>
        <v>0.3333,101.0333</v>
      </c>
      <c r="M20" s="1">
        <v>56</v>
      </c>
      <c r="N20" s="1">
        <v>0</v>
      </c>
      <c r="O20" s="3">
        <f t="shared" si="1"/>
        <v>0</v>
      </c>
    </row>
    <row r="21" spans="1:15" x14ac:dyDescent="0.25">
      <c r="A21" s="1">
        <v>2</v>
      </c>
      <c r="B21" t="s">
        <v>12</v>
      </c>
      <c r="C21" t="s">
        <v>13</v>
      </c>
      <c r="D21" t="s">
        <v>9</v>
      </c>
      <c r="E21" t="s">
        <v>10</v>
      </c>
      <c r="F21">
        <v>3.04E-2</v>
      </c>
      <c r="G21">
        <v>101.2</v>
      </c>
      <c r="H21" t="s">
        <v>11</v>
      </c>
      <c r="I21" s="1">
        <v>795</v>
      </c>
      <c r="J21" s="2" t="s">
        <v>88</v>
      </c>
      <c r="K21" s="2" t="s">
        <v>89</v>
      </c>
      <c r="L21" s="1" t="str">
        <f t="shared" si="0"/>
        <v>0.0304,101.2</v>
      </c>
      <c r="M21" s="1">
        <v>31</v>
      </c>
      <c r="N21" s="1">
        <v>0</v>
      </c>
      <c r="O21" s="3">
        <f t="shared" si="1"/>
        <v>0</v>
      </c>
    </row>
    <row r="22" spans="1:15" x14ac:dyDescent="0.25">
      <c r="A22" s="1">
        <v>13</v>
      </c>
      <c r="B22" t="s">
        <v>36</v>
      </c>
      <c r="C22" t="s">
        <v>37</v>
      </c>
      <c r="D22" t="s">
        <v>9</v>
      </c>
      <c r="E22" t="s">
        <v>27</v>
      </c>
      <c r="F22">
        <v>-3.7080000000000002E-2</v>
      </c>
      <c r="G22">
        <v>102.9032</v>
      </c>
      <c r="H22" t="s">
        <v>11</v>
      </c>
      <c r="I22" s="1">
        <v>10055</v>
      </c>
      <c r="J22" s="2" t="s">
        <v>102</v>
      </c>
      <c r="K22" s="2" t="s">
        <v>127</v>
      </c>
      <c r="L22" s="1" t="str">
        <f t="shared" si="0"/>
        <v>-0.03708,102.9032</v>
      </c>
      <c r="M22" s="1">
        <v>31</v>
      </c>
      <c r="N22" s="1">
        <v>1</v>
      </c>
      <c r="O22" s="3">
        <f t="shared" si="1"/>
        <v>1</v>
      </c>
    </row>
    <row r="23" spans="1:15" x14ac:dyDescent="0.25">
      <c r="A23" s="1">
        <v>12</v>
      </c>
      <c r="B23" t="s">
        <v>34</v>
      </c>
      <c r="C23" t="s">
        <v>35</v>
      </c>
      <c r="D23" t="s">
        <v>9</v>
      </c>
      <c r="E23" t="s">
        <v>27</v>
      </c>
      <c r="F23">
        <v>-0.12909000000000001</v>
      </c>
      <c r="G23">
        <v>103.1474</v>
      </c>
      <c r="H23" t="s">
        <v>11</v>
      </c>
      <c r="I23" s="1">
        <v>8968</v>
      </c>
      <c r="J23" s="2" t="s">
        <v>101</v>
      </c>
      <c r="K23" s="2" t="s">
        <v>126</v>
      </c>
      <c r="L23" s="1" t="str">
        <f t="shared" si="0"/>
        <v>-0.12909,103.1474</v>
      </c>
      <c r="M23" s="1">
        <v>6</v>
      </c>
      <c r="N23" s="1">
        <v>1</v>
      </c>
      <c r="O23" s="3">
        <f t="shared" si="1"/>
        <v>1</v>
      </c>
    </row>
    <row r="24" spans="1:15" x14ac:dyDescent="0.25">
      <c r="A24" s="1">
        <v>5</v>
      </c>
      <c r="B24" t="s">
        <v>19</v>
      </c>
      <c r="C24" t="s">
        <v>20</v>
      </c>
      <c r="D24" t="s">
        <v>9</v>
      </c>
      <c r="E24" t="s">
        <v>18</v>
      </c>
      <c r="F24">
        <v>-0.25955</v>
      </c>
      <c r="G24">
        <v>102.2799</v>
      </c>
      <c r="H24" t="s">
        <v>11</v>
      </c>
      <c r="I24" s="1">
        <v>2561</v>
      </c>
      <c r="J24" s="2" t="s">
        <v>93</v>
      </c>
      <c r="K24" s="2" t="s">
        <v>120</v>
      </c>
      <c r="L24" s="1" t="str">
        <f t="shared" si="0"/>
        <v>-0.25955,102.2799</v>
      </c>
      <c r="M24" s="1">
        <v>38</v>
      </c>
      <c r="N24" s="1">
        <v>1</v>
      </c>
      <c r="O24" s="3">
        <f t="shared" si="1"/>
        <v>1</v>
      </c>
    </row>
    <row r="25" spans="1:15" x14ac:dyDescent="0.25">
      <c r="A25" s="1">
        <v>10</v>
      </c>
      <c r="B25" t="s">
        <v>30</v>
      </c>
      <c r="C25" t="s">
        <v>31</v>
      </c>
      <c r="D25" t="s">
        <v>9</v>
      </c>
      <c r="E25" t="s">
        <v>27</v>
      </c>
      <c r="F25">
        <v>-0.31669999999999998</v>
      </c>
      <c r="G25">
        <v>103.2167</v>
      </c>
      <c r="H25" t="s">
        <v>11</v>
      </c>
      <c r="I25" s="1">
        <v>3631</v>
      </c>
      <c r="J25" s="2" t="s">
        <v>99</v>
      </c>
      <c r="K25" s="2" t="s">
        <v>124</v>
      </c>
      <c r="L25" s="1" t="str">
        <f t="shared" si="0"/>
        <v>-0.3167,103.2167</v>
      </c>
      <c r="M25" s="1">
        <v>3</v>
      </c>
      <c r="N25" s="1">
        <v>1</v>
      </c>
      <c r="O25" s="3">
        <f t="shared" si="1"/>
        <v>1</v>
      </c>
    </row>
    <row r="26" spans="1:15" x14ac:dyDescent="0.25">
      <c r="A26" s="1">
        <v>6</v>
      </c>
      <c r="B26" t="s">
        <v>21</v>
      </c>
      <c r="C26" t="s">
        <v>22</v>
      </c>
      <c r="D26" t="s">
        <v>9</v>
      </c>
      <c r="E26" t="s">
        <v>18</v>
      </c>
      <c r="F26">
        <v>-0.35</v>
      </c>
      <c r="G26">
        <v>102.33</v>
      </c>
      <c r="H26" t="s">
        <v>11</v>
      </c>
      <c r="I26" s="1">
        <v>313</v>
      </c>
      <c r="J26" s="2" t="s">
        <v>94</v>
      </c>
      <c r="K26" s="2" t="s">
        <v>95</v>
      </c>
      <c r="L26" s="1" t="str">
        <f t="shared" si="0"/>
        <v>-0.35,102.33</v>
      </c>
      <c r="M26" s="1">
        <v>24</v>
      </c>
      <c r="N26" s="1">
        <v>0</v>
      </c>
      <c r="O26" s="3">
        <f t="shared" si="1"/>
        <v>1</v>
      </c>
    </row>
    <row r="27" spans="1:15" x14ac:dyDescent="0.25">
      <c r="A27" s="1">
        <v>30</v>
      </c>
      <c r="B27" t="s">
        <v>74</v>
      </c>
      <c r="C27" t="s">
        <v>75</v>
      </c>
      <c r="D27" t="s">
        <v>9</v>
      </c>
      <c r="E27" t="s">
        <v>76</v>
      </c>
      <c r="F27">
        <v>-0.38329999999999997</v>
      </c>
      <c r="G27">
        <v>101.35</v>
      </c>
      <c r="H27" t="s">
        <v>11</v>
      </c>
      <c r="I27" s="1">
        <v>4312</v>
      </c>
      <c r="J27" s="2" t="s">
        <v>114</v>
      </c>
      <c r="K27" s="2" t="s">
        <v>115</v>
      </c>
      <c r="L27" s="1" t="str">
        <f t="shared" si="0"/>
        <v>-0.3833,101.35</v>
      </c>
      <c r="M27" s="1">
        <v>85</v>
      </c>
      <c r="N27" s="1">
        <v>0</v>
      </c>
      <c r="O27" s="3">
        <f t="shared" si="1"/>
        <v>1</v>
      </c>
    </row>
    <row r="28" spans="1:15" x14ac:dyDescent="0.25">
      <c r="A28" s="1">
        <v>4</v>
      </c>
      <c r="B28" t="s">
        <v>16</v>
      </c>
      <c r="C28" t="s">
        <v>17</v>
      </c>
      <c r="D28" t="s">
        <v>9</v>
      </c>
      <c r="E28" t="s">
        <v>18</v>
      </c>
      <c r="F28">
        <v>-0.38575999999999999</v>
      </c>
      <c r="G28">
        <v>102.5425</v>
      </c>
      <c r="H28" t="s">
        <v>11</v>
      </c>
      <c r="I28" s="1">
        <v>4921</v>
      </c>
      <c r="J28" s="2" t="s">
        <v>92</v>
      </c>
      <c r="K28" s="2" t="s">
        <v>119</v>
      </c>
      <c r="L28" s="1" t="str">
        <f t="shared" si="0"/>
        <v>-0.38576,102.5425</v>
      </c>
      <c r="M28" s="1">
        <v>6</v>
      </c>
      <c r="N28" s="1">
        <v>0</v>
      </c>
      <c r="O28" s="3">
        <f t="shared" si="1"/>
        <v>1</v>
      </c>
    </row>
    <row r="29" spans="1:15" x14ac:dyDescent="0.25">
      <c r="A29" s="1">
        <v>11</v>
      </c>
      <c r="B29" t="s">
        <v>32</v>
      </c>
      <c r="C29" t="s">
        <v>33</v>
      </c>
      <c r="D29" t="s">
        <v>9</v>
      </c>
      <c r="E29" t="s">
        <v>27</v>
      </c>
      <c r="F29" s="4">
        <v>-0.43309999999999998</v>
      </c>
      <c r="G29">
        <v>102.9833</v>
      </c>
      <c r="H29" t="s">
        <v>11</v>
      </c>
      <c r="I29" s="1">
        <v>5703</v>
      </c>
      <c r="J29" s="2" t="s">
        <v>100</v>
      </c>
      <c r="K29" s="2" t="s">
        <v>125</v>
      </c>
      <c r="L29" s="1" t="str">
        <f t="shared" si="0"/>
        <v>-0.4331,102.9833</v>
      </c>
      <c r="M29" s="1">
        <v>8</v>
      </c>
      <c r="N29" s="1">
        <v>1</v>
      </c>
      <c r="O29" s="3">
        <f t="shared" si="1"/>
        <v>1</v>
      </c>
    </row>
    <row r="30" spans="1:15" x14ac:dyDescent="0.25">
      <c r="A30" s="1">
        <v>14</v>
      </c>
      <c r="B30" t="s">
        <v>38</v>
      </c>
      <c r="C30" t="s">
        <v>39</v>
      </c>
      <c r="D30" t="s">
        <v>9</v>
      </c>
      <c r="E30" t="s">
        <v>27</v>
      </c>
      <c r="F30" s="4">
        <v>-0.50261999999999996</v>
      </c>
      <c r="G30">
        <v>102.7769</v>
      </c>
      <c r="H30" t="s">
        <v>11</v>
      </c>
      <c r="I30" s="1">
        <v>3420</v>
      </c>
      <c r="J30" s="2" t="s">
        <v>103</v>
      </c>
      <c r="K30" s="2" t="s">
        <v>128</v>
      </c>
      <c r="L30" s="1" t="str">
        <f t="shared" si="0"/>
        <v>-0.50262,102.7769</v>
      </c>
      <c r="M30" s="1">
        <v>11</v>
      </c>
      <c r="N30" s="1">
        <v>0</v>
      </c>
      <c r="O30" s="3">
        <f t="shared" si="1"/>
        <v>1</v>
      </c>
    </row>
    <row r="31" spans="1:15" x14ac:dyDescent="0.25">
      <c r="A31" s="1">
        <v>9</v>
      </c>
      <c r="B31" t="s">
        <v>28</v>
      </c>
      <c r="C31" t="s">
        <v>29</v>
      </c>
      <c r="D31" t="s">
        <v>9</v>
      </c>
      <c r="E31" t="s">
        <v>27</v>
      </c>
      <c r="F31" s="4">
        <v>-0.5333</v>
      </c>
      <c r="G31">
        <v>103.2</v>
      </c>
      <c r="H31" t="s">
        <v>11</v>
      </c>
      <c r="I31" s="1">
        <v>8226</v>
      </c>
      <c r="J31" s="2" t="s">
        <v>97</v>
      </c>
      <c r="K31" s="2" t="s">
        <v>98</v>
      </c>
      <c r="L31" s="1" t="str">
        <f t="shared" si="0"/>
        <v>-0.5333,103.2</v>
      </c>
      <c r="M31" s="1">
        <v>8</v>
      </c>
      <c r="N31" s="1">
        <v>1</v>
      </c>
      <c r="O31" s="3">
        <f t="shared" si="1"/>
        <v>1</v>
      </c>
    </row>
    <row r="32" spans="1:15" x14ac:dyDescent="0.25">
      <c r="A32" s="1">
        <v>15</v>
      </c>
      <c r="B32" t="s">
        <v>40</v>
      </c>
      <c r="C32" t="s">
        <v>41</v>
      </c>
      <c r="D32" t="s">
        <v>9</v>
      </c>
      <c r="E32" t="s">
        <v>27</v>
      </c>
      <c r="F32" s="4">
        <v>-0.60560999999999998</v>
      </c>
      <c r="G32">
        <v>103.2226</v>
      </c>
      <c r="H32" t="s">
        <v>11</v>
      </c>
      <c r="I32" s="1">
        <v>6295</v>
      </c>
      <c r="J32" s="2" t="s">
        <v>104</v>
      </c>
      <c r="K32" s="2" t="s">
        <v>129</v>
      </c>
      <c r="L32" s="1" t="str">
        <f t="shared" si="0"/>
        <v>-0.60561,103.2226</v>
      </c>
      <c r="M32" s="1">
        <v>10</v>
      </c>
      <c r="N32" s="1">
        <v>1</v>
      </c>
      <c r="O32" s="3">
        <f t="shared" si="1"/>
        <v>1</v>
      </c>
    </row>
    <row r="33" spans="1:15" x14ac:dyDescent="0.25">
      <c r="A33" s="1">
        <v>8</v>
      </c>
      <c r="B33" t="s">
        <v>26</v>
      </c>
      <c r="C33" t="s">
        <v>85</v>
      </c>
      <c r="D33" t="s">
        <v>9</v>
      </c>
      <c r="E33" t="s">
        <v>27</v>
      </c>
      <c r="F33" s="4">
        <v>-0.69967000000000001</v>
      </c>
      <c r="G33">
        <v>103.24460000000001</v>
      </c>
      <c r="H33" t="s">
        <v>11</v>
      </c>
      <c r="I33" s="1">
        <v>5077</v>
      </c>
      <c r="J33" s="2" t="s">
        <v>96</v>
      </c>
      <c r="K33" s="2" t="s">
        <v>123</v>
      </c>
      <c r="L33" s="1" t="str">
        <f t="shared" si="0"/>
        <v>-0.69967,103.2446</v>
      </c>
      <c r="M33" s="1">
        <v>4</v>
      </c>
      <c r="N33" s="1">
        <v>1</v>
      </c>
      <c r="O33" s="3">
        <f t="shared" si="1"/>
        <v>1</v>
      </c>
    </row>
  </sheetData>
  <autoFilter ref="A1:O33" xr:uid="{127FF22F-70C0-4FDC-A2C8-97D040867D25}">
    <sortState xmlns:xlrd2="http://schemas.microsoft.com/office/spreadsheetml/2017/richdata2" ref="A2:O33">
      <sortCondition descending="1" ref="F1:F33"/>
    </sortState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3EEF-A203-4168-B8C9-B19E1CF7A94E}">
  <dimension ref="A1:F11"/>
  <sheetViews>
    <sheetView workbookViewId="0">
      <selection activeCell="F26" sqref="F26"/>
    </sheetView>
  </sheetViews>
  <sheetFormatPr defaultRowHeight="15" x14ac:dyDescent="0.25"/>
  <cols>
    <col min="1" max="1" width="5.140625" style="1" customWidth="1"/>
    <col min="2" max="2" width="28" bestFit="1" customWidth="1"/>
    <col min="6" max="6" width="13.5703125" bestFit="1" customWidth="1"/>
  </cols>
  <sheetData>
    <row r="1" spans="1:6" s="5" customFormat="1" x14ac:dyDescent="0.25">
      <c r="A1" s="10" t="s">
        <v>0</v>
      </c>
      <c r="B1" s="11" t="s">
        <v>153</v>
      </c>
      <c r="C1" s="11" t="s">
        <v>151</v>
      </c>
      <c r="D1" s="11" t="s">
        <v>152</v>
      </c>
      <c r="F1" s="5" t="s">
        <v>154</v>
      </c>
    </row>
    <row r="2" spans="1:6" x14ac:dyDescent="0.25">
      <c r="A2" s="6">
        <v>1</v>
      </c>
      <c r="B2" s="7" t="s">
        <v>53</v>
      </c>
      <c r="C2" s="7">
        <v>2.17</v>
      </c>
      <c r="D2" s="7">
        <v>100.8001</v>
      </c>
      <c r="F2" s="1">
        <v>20</v>
      </c>
    </row>
    <row r="3" spans="1:6" x14ac:dyDescent="0.25">
      <c r="A3" s="6">
        <v>2</v>
      </c>
      <c r="B3" s="7" t="s">
        <v>24</v>
      </c>
      <c r="C3" s="7">
        <v>1.91127</v>
      </c>
      <c r="D3" s="7">
        <v>101.6151</v>
      </c>
      <c r="F3" s="1">
        <v>7</v>
      </c>
    </row>
    <row r="4" spans="1:6" x14ac:dyDescent="0.25">
      <c r="A4" s="6">
        <v>3</v>
      </c>
      <c r="B4" s="7" t="s">
        <v>58</v>
      </c>
      <c r="C4" s="7">
        <v>1.6786099999999999</v>
      </c>
      <c r="D4" s="7">
        <v>101.0454</v>
      </c>
      <c r="F4" s="1">
        <v>22</v>
      </c>
    </row>
    <row r="5" spans="1:6" x14ac:dyDescent="0.25">
      <c r="A5" s="6">
        <v>4</v>
      </c>
      <c r="B5" s="7" t="s">
        <v>81</v>
      </c>
      <c r="C5" s="7">
        <v>1.63</v>
      </c>
      <c r="D5" s="7">
        <v>101.499</v>
      </c>
      <c r="F5" s="1">
        <v>32</v>
      </c>
    </row>
    <row r="6" spans="1:6" x14ac:dyDescent="0.25">
      <c r="A6" s="6">
        <v>5</v>
      </c>
      <c r="B6" s="7" t="s">
        <v>56</v>
      </c>
      <c r="C6" s="7">
        <v>1.5482</v>
      </c>
      <c r="D6" s="7">
        <v>101.0247</v>
      </c>
      <c r="F6" s="1">
        <v>21</v>
      </c>
    </row>
    <row r="7" spans="1:6" x14ac:dyDescent="0.25">
      <c r="A7" s="6">
        <v>6</v>
      </c>
      <c r="B7" s="7" t="s">
        <v>33</v>
      </c>
      <c r="C7" s="7">
        <v>-0.43309999999999998</v>
      </c>
      <c r="D7" s="7">
        <v>102.9833</v>
      </c>
      <c r="F7" s="1">
        <v>11</v>
      </c>
    </row>
    <row r="8" spans="1:6" x14ac:dyDescent="0.25">
      <c r="A8" s="6">
        <v>7</v>
      </c>
      <c r="B8" s="7" t="s">
        <v>39</v>
      </c>
      <c r="C8" s="7">
        <v>-0.50261999999999996</v>
      </c>
      <c r="D8" s="7">
        <v>102.7769</v>
      </c>
      <c r="F8" s="1">
        <v>14</v>
      </c>
    </row>
    <row r="9" spans="1:6" x14ac:dyDescent="0.25">
      <c r="A9" s="6">
        <v>8</v>
      </c>
      <c r="B9" s="7" t="s">
        <v>29</v>
      </c>
      <c r="C9" s="7">
        <v>-0.5333</v>
      </c>
      <c r="D9" s="7">
        <v>103.2</v>
      </c>
      <c r="F9" s="1">
        <v>9</v>
      </c>
    </row>
    <row r="10" spans="1:6" x14ac:dyDescent="0.25">
      <c r="A10" s="6">
        <v>9</v>
      </c>
      <c r="B10" s="7" t="s">
        <v>41</v>
      </c>
      <c r="C10" s="7">
        <v>-0.60560999999999998</v>
      </c>
      <c r="D10" s="7">
        <v>103.2226</v>
      </c>
      <c r="F10" s="1">
        <v>15</v>
      </c>
    </row>
    <row r="11" spans="1:6" x14ac:dyDescent="0.25">
      <c r="A11" s="8">
        <v>10</v>
      </c>
      <c r="B11" s="9" t="s">
        <v>85</v>
      </c>
      <c r="C11" s="9">
        <v>-0.69967000000000001</v>
      </c>
      <c r="D11" s="9">
        <v>103.24460000000001</v>
      </c>
      <c r="F11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INFOPOS</vt:lpstr>
      <vt:lpstr>INFOPOS (edit)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Indonesia</dc:creator>
  <cp:lastModifiedBy>Dani Al Mahkya</cp:lastModifiedBy>
  <dcterms:created xsi:type="dcterms:W3CDTF">2021-11-25T09:52:38Z</dcterms:created>
  <dcterms:modified xsi:type="dcterms:W3CDTF">2024-02-23T23:56:44Z</dcterms:modified>
</cp:coreProperties>
</file>